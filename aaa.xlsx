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Расписание" sheetId="1" state="visible" r:id="rId3"/>
    <sheet name="Кабинеты" sheetId="2" state="visible" r:id="rId4"/>
    <sheet name="Тарификация" sheetId="3" state="visible" r:id="rId5"/>
    <sheet name="База данных" sheetId="4" state="visible" r:id="rId6"/>
    <sheet name="Корпус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2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4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5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color rgb="FF000000"/>
            <rFont val="Tahoma"/>
            <family val="2"/>
            <charset val="204"/>
          </rPr>
          <t xml:space="preserve">деление на группы</t>
        </r>
      </text>
    </comment>
    <comment ref="B12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13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color rgb="FF000000"/>
            <rFont val="Tahoma"/>
            <family val="2"/>
            <charset val="204"/>
          </rPr>
          <t xml:space="preserve">деление на группы</t>
        </r>
      </text>
    </comment>
    <comment ref="B20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27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28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29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30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32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34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39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42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color rgb="FF000000"/>
            <rFont val="Tahoma"/>
            <family val="2"/>
            <charset val="204"/>
          </rPr>
          <t xml:space="preserve">деление на группы</t>
        </r>
      </text>
    </comment>
    <comment ref="B48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rFont val="Tahoma"/>
            <family val="2"/>
            <charset val="204"/>
          </rPr>
          <t xml:space="preserve">деление на группы
</t>
        </r>
      </text>
    </comment>
    <comment ref="B49" authorId="0">
      <text>
        <r>
          <rPr>
            <sz val="10"/>
            <rFont val="Arial"/>
            <family val="2"/>
            <charset val="204"/>
          </rPr>
          <t xml:space="preserve">Пользователь:
</t>
        </r>
        <r>
          <rPr>
            <sz val="9"/>
            <color rgb="FF000000"/>
            <rFont val="Tahoma"/>
            <family val="2"/>
            <charset val="204"/>
          </rPr>
          <t xml:space="preserve">деление на группы</t>
        </r>
      </text>
    </comment>
  </commentList>
</comments>
</file>

<file path=xl/sharedStrings.xml><?xml version="1.0" encoding="utf-8"?>
<sst xmlns="http://schemas.openxmlformats.org/spreadsheetml/2006/main" count="1398" uniqueCount="129">
  <si>
    <t xml:space="preserve">Дни недели</t>
  </si>
  <si>
    <t xml:space="preserve">понедельник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</si>
  <si>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</si>
  <si>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</si>
  <si>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</si>
  <si>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</si>
  <si>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Нагр. у. всего</t>
  </si>
  <si>
    <t xml:space="preserve">Нагр. у./класс</t>
  </si>
  <si>
    <t xml:space="preserve">ФИО учителя</t>
  </si>
  <si>
    <t xml:space="preserve">Стрибулева О.В.</t>
  </si>
  <si>
    <t xml:space="preserve">5л</t>
  </si>
  <si>
    <t xml:space="preserve">10е</t>
  </si>
  <si>
    <t xml:space="preserve">11е</t>
  </si>
  <si>
    <t xml:space="preserve">10г</t>
  </si>
  <si>
    <t xml:space="preserve">7о</t>
  </si>
  <si>
    <t xml:space="preserve">Введите класс для поиска</t>
  </si>
  <si>
    <t xml:space="preserve">Бахвалова Н.Н.</t>
  </si>
  <si>
    <t xml:space="preserve">5м</t>
  </si>
  <si>
    <t xml:space="preserve">11г</t>
  </si>
  <si>
    <t xml:space="preserve">Распределено часов в расписании</t>
  </si>
  <si>
    <t xml:space="preserve">Беспалова С.В.</t>
  </si>
  <si>
    <t xml:space="preserve">5к</t>
  </si>
  <si>
    <t xml:space="preserve">5н</t>
  </si>
  <si>
    <t xml:space="preserve">11д</t>
  </si>
  <si>
    <t xml:space="preserve">Распределено часов в тарификации</t>
  </si>
  <si>
    <t xml:space="preserve">Рубцов В.С.</t>
  </si>
  <si>
    <t xml:space="preserve">9м</t>
  </si>
  <si>
    <t xml:space="preserve">9с</t>
  </si>
  <si>
    <t xml:space="preserve">9к</t>
  </si>
  <si>
    <t xml:space="preserve">9л</t>
  </si>
  <si>
    <t xml:space="preserve">Мальцева А.О.</t>
  </si>
  <si>
    <t xml:space="preserve">Если номер класса красный, значит не совпадают часы в тарификафии и расписании</t>
  </si>
  <si>
    <t xml:space="preserve">Позднякова С.Л.</t>
  </si>
  <si>
    <t xml:space="preserve">Если номер класса зелленый, значит все хорошо</t>
  </si>
  <si>
    <t xml:space="preserve">Гаршина Т.П.</t>
  </si>
  <si>
    <t xml:space="preserve">Карлина В.А.</t>
  </si>
  <si>
    <t xml:space="preserve">Луцкая А.В.</t>
  </si>
  <si>
    <t xml:space="preserve">Бородулина Е.А.</t>
  </si>
  <si>
    <t xml:space="preserve">Виноградова Е.А.</t>
  </si>
  <si>
    <t xml:space="preserve">Калинина Т.Н.</t>
  </si>
  <si>
    <t xml:space="preserve">6о</t>
  </si>
  <si>
    <t xml:space="preserve">6л</t>
  </si>
  <si>
    <t xml:space="preserve">7н</t>
  </si>
  <si>
    <t xml:space="preserve">8л</t>
  </si>
  <si>
    <t xml:space="preserve">6н</t>
  </si>
  <si>
    <t xml:space="preserve">7л</t>
  </si>
  <si>
    <t xml:space="preserve">8к</t>
  </si>
  <si>
    <t xml:space="preserve">8м</t>
  </si>
  <si>
    <t xml:space="preserve">8н</t>
  </si>
  <si>
    <t xml:space="preserve">6м</t>
  </si>
  <si>
    <t xml:space="preserve">Колобанова И.В.</t>
  </si>
  <si>
    <t xml:space="preserve">Баринов Е.И.</t>
  </si>
  <si>
    <t xml:space="preserve">Лукьянова Л.К.</t>
  </si>
  <si>
    <t xml:space="preserve">Соколова С.А.</t>
  </si>
  <si>
    <t xml:space="preserve">Буданова О.В.</t>
  </si>
  <si>
    <t xml:space="preserve">Пушин К.В.</t>
  </si>
  <si>
    <t xml:space="preserve">Киреева Г.В.</t>
  </si>
  <si>
    <t xml:space="preserve">Алферова И.Ю.</t>
  </si>
  <si>
    <t xml:space="preserve">Малышев А.А.</t>
  </si>
  <si>
    <t xml:space="preserve">Бойкова Е.А.</t>
  </si>
  <si>
    <t xml:space="preserve">Кирпач И.Ю.</t>
  </si>
  <si>
    <t xml:space="preserve">Пименова П.К.</t>
  </si>
  <si>
    <t xml:space="preserve">Шипилова.М.Ю.</t>
  </si>
  <si>
    <t xml:space="preserve">Баранова А.C.</t>
  </si>
  <si>
    <t xml:space="preserve">Никулина М.Е.</t>
  </si>
  <si>
    <t xml:space="preserve">Зонова А.В.</t>
  </si>
  <si>
    <t xml:space="preserve">Файнер О.В.</t>
  </si>
  <si>
    <t xml:space="preserve">Попова А.С.</t>
  </si>
  <si>
    <t xml:space="preserve">Пронкина О.Н.</t>
  </si>
  <si>
    <t xml:space="preserve">Алимова Е.М.</t>
  </si>
  <si>
    <t xml:space="preserve">Беспроскурнова К.В.</t>
  </si>
  <si>
    <t xml:space="preserve">Липская Т.Ю.</t>
  </si>
  <si>
    <t xml:space="preserve">Остащенко Н.В.</t>
  </si>
  <si>
    <t xml:space="preserve">Исайкина О.М.</t>
  </si>
  <si>
    <t xml:space="preserve">Сидоров С.А.</t>
  </si>
  <si>
    <t xml:space="preserve">Шашеро А.В.</t>
  </si>
  <si>
    <t xml:space="preserve">Смирнова В.В.</t>
  </si>
  <si>
    <t xml:space="preserve">Толченников С.А.</t>
  </si>
  <si>
    <t xml:space="preserve">ДТ</t>
  </si>
  <si>
    <t xml:space="preserve">МГПУ</t>
  </si>
  <si>
    <t xml:space="preserve">Генералова О.П.</t>
  </si>
  <si>
    <t xml:space="preserve">Проверка дырок</t>
  </si>
  <si>
    <t xml:space="preserve">свободные каб.</t>
  </si>
  <si>
    <t xml:space="preserve">ФИО</t>
  </si>
  <si>
    <t xml:space="preserve">кабинеты 
корпуса 1115</t>
  </si>
  <si>
    <t xml:space="preserve">вместимость</t>
  </si>
  <si>
    <t xml:space="preserve">кабинеты 
корпуса 1128</t>
  </si>
  <si>
    <t xml:space="preserve">311а</t>
  </si>
  <si>
    <t xml:space="preserve">-</t>
  </si>
  <si>
    <t xml:space="preserve">211а</t>
  </si>
  <si>
    <t xml:space="preserve">301а</t>
  </si>
  <si>
    <t xml:space="preserve">318а</t>
  </si>
  <si>
    <t xml:space="preserve">211б</t>
  </si>
  <si>
    <t xml:space="preserve">220-308</t>
  </si>
  <si>
    <t xml:space="preserve">сп/з</t>
  </si>
  <si>
    <t xml:space="preserve">201А</t>
  </si>
  <si>
    <t xml:space="preserve">318б</t>
  </si>
  <si>
    <t xml:space="preserve">сп/зал</t>
  </si>
  <si>
    <t xml:space="preserve">Предмет</t>
  </si>
  <si>
    <t xml:space="preserve">Деление по группам</t>
  </si>
  <si>
    <t xml:space="preserve">Исключения </t>
  </si>
  <si>
    <t xml:space="preserve">Урок сдвоенный</t>
  </si>
  <si>
    <t xml:space="preserve">англ. язык</t>
  </si>
  <si>
    <t xml:space="preserve">Да</t>
  </si>
  <si>
    <t xml:space="preserve">химия</t>
  </si>
  <si>
    <t xml:space="preserve">Нет</t>
  </si>
  <si>
    <t xml:space="preserve">практикум по англ.</t>
  </si>
  <si>
    <t xml:space="preserve">ИЗО</t>
  </si>
  <si>
    <t xml:space="preserve">музыка</t>
  </si>
  <si>
    <t xml:space="preserve">математика</t>
  </si>
  <si>
    <t xml:space="preserve">Труд(технология) </t>
  </si>
  <si>
    <t xml:space="preserve">филология</t>
  </si>
  <si>
    <t xml:space="preserve">обществознание</t>
  </si>
  <si>
    <t xml:space="preserve">история</t>
  </si>
  <si>
    <t xml:space="preserve">физика </t>
  </si>
  <si>
    <t xml:space="preserve">общество</t>
  </si>
  <si>
    <t xml:space="preserve">биология </t>
  </si>
  <si>
    <t xml:space="preserve">география</t>
  </si>
  <si>
    <t xml:space="preserve">англ. Язык</t>
  </si>
  <si>
    <t xml:space="preserve">информатика</t>
  </si>
  <si>
    <t xml:space="preserve">Труд(технология )</t>
  </si>
  <si>
    <t xml:space="preserve">общество </t>
  </si>
  <si>
    <t xml:space="preserve">биология</t>
  </si>
  <si>
    <t xml:space="preserve">ОБЖ</t>
  </si>
  <si>
    <t xml:space="preserve">физкультура</t>
  </si>
  <si>
    <t xml:space="preserve">индивид. проект</t>
  </si>
  <si>
    <t xml:space="preserve">ФИО учителей</t>
  </si>
  <si>
    <t xml:space="preserve">Классы</t>
  </si>
  <si>
    <t xml:space="preserve">Лазукина А.Н.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</si>
</sst>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 val="true"/>
      <sz val="11"/>
      <color rgb="FF000000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2"/>
      <name val="Times New Roman"/>
      <family val="1"/>
      <charset val="204"/>
    </font>
    <font>
      <b val="true"/>
      <sz val="15"/>
      <name val="Times New Roman"/>
      <family val="1"/>
      <charset val="204"/>
    </font>
    <font>
      <b val="true"/>
      <sz val="18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b val="true"/>
      <sz val="15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b val="true"/>
      <sz val="15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5"/>
      <color rgb="FF000000"/>
      <name val="Times New Roman"/>
      <family val="1"/>
      <charset val="204"/>
    </font>
    <font>
      <b val="true"/>
      <sz val="15"/>
      <color rgb="FF00B0F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name val="Arial"/>
      <family val="2"/>
      <charset val="204"/>
    </font>
    <font>
      <sz val="9"/>
      <name val="Tahoma"/>
      <family val="2"/>
      <charset val="204"/>
    </font>
    <font>
      <sz val="9"/>
      <color rgb="FF000000"/>
      <name val="Tahoma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theme="1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66FFFF"/>
        <bgColor rgb="FF9DC3E6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9DC3E6"/>
        <bgColor rgb="FFB4C7E7"/>
      </patternFill>
    </fill>
    <fill>
      <patternFill patternType="solid">
        <fgColor rgb="FFB4C7E7"/>
        <bgColor rgb="FF9DC3E6"/>
      </patternFill>
    </fill>
    <fill>
      <patternFill patternType="solid">
        <fgColor theme="9" tint="0.7999"/>
        <bgColor rgb="FFEDEDED"/>
      </patternFill>
    </fill>
    <fill>
      <patternFill patternType="solid">
        <fgColor rgb="FFFF99FF"/>
        <bgColor rgb="FFCC99FF"/>
      </patternFill>
    </fill>
    <fill>
      <patternFill patternType="solid">
        <fgColor rgb="FFFFD966"/>
        <bgColor rgb="FFFFFF99"/>
      </patternFill>
    </fill>
    <fill>
      <patternFill patternType="solid">
        <fgColor rgb="FF00B050"/>
        <bgColor rgb="FF008080"/>
      </patternFill>
    </fill>
    <fill>
      <patternFill patternType="solid">
        <fgColor rgb="FFFFFF99"/>
        <bgColor rgb="FFE2F0D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6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8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3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11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3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11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11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1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9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12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12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3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1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8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DC3E6"/>
      <rgbColor rgb="FFFF99FF"/>
      <rgbColor rgb="FFCC99FF"/>
      <rgbColor rgb="FFFFD966"/>
      <rgbColor rgb="FF3366FF"/>
      <rgbColor rgb="FF66FFFF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I5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L12" activeCellId="0" sqref="AL1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1.57"/>
    <col collapsed="false" customWidth="true" hidden="false" outlineLevel="0" max="2" min="2" style="1" width="2.71"/>
    <col collapsed="false" customWidth="true" hidden="false" outlineLevel="0" max="9" min="3" style="1" width="5.71"/>
    <col collapsed="false" customWidth="true" hidden="false" outlineLevel="0" max="10" min="10" style="2" width="5.71"/>
    <col collapsed="false" customWidth="true" hidden="false" outlineLevel="0" max="16" min="11" style="3" width="5.71"/>
    <col collapsed="false" customWidth="true" hidden="false" outlineLevel="0" max="17" min="17" style="4" width="5.71"/>
    <col collapsed="false" customWidth="true" hidden="false" outlineLevel="0" max="25" min="18" style="5" width="5.71"/>
    <col collapsed="false" customWidth="true" hidden="false" outlineLevel="0" max="26" min="26" style="2" width="5.71"/>
    <col collapsed="false" customWidth="true" hidden="false" outlineLevel="0" max="32" min="27" style="3" width="5.71"/>
    <col collapsed="false" customWidth="true" hidden="false" outlineLevel="0" max="33" min="33" style="4" width="5.71"/>
    <col collapsed="false" customWidth="true" hidden="false" outlineLevel="0" max="41" min="34" style="1" width="5.71"/>
    <col collapsed="false" customWidth="true" hidden="false" outlineLevel="0" max="42" min="42" style="1" width="8.29"/>
    <col collapsed="false" customWidth="true" hidden="false" outlineLevel="0" max="43" min="43" style="1" width="9.71"/>
    <col collapsed="false" customWidth="true" hidden="false" outlineLevel="0" max="44" min="44" style="6" width="4.57"/>
    <col collapsed="false" customWidth="true" hidden="false" outlineLevel="0" max="45" min="45" style="1" width="12"/>
    <col collapsed="false" customWidth="false" hidden="false" outlineLevel="0" max="16384" min="46" style="1" width="9.14"/>
  </cols>
  <sheetData>
    <row r="1" customFormat="false" ht="15.75" hidden="false" customHeight="true" outlineLevel="0" collapsed="false">
      <c r="A1" s="7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9" t="s">
        <v>2</v>
      </c>
      <c r="K1" s="9"/>
      <c r="L1" s="9"/>
      <c r="M1" s="9"/>
      <c r="N1" s="9"/>
      <c r="O1" s="9"/>
      <c r="P1" s="9"/>
      <c r="Q1" s="9"/>
      <c r="R1" s="10" t="s">
        <v>3</v>
      </c>
      <c r="S1" s="10"/>
      <c r="T1" s="10"/>
      <c r="U1" s="10"/>
      <c r="V1" s="10"/>
      <c r="W1" s="10"/>
      <c r="X1" s="10"/>
      <c r="Y1" s="10"/>
      <c r="Z1" s="11" t="s">
        <v>4</v>
      </c>
      <c r="AA1" s="11"/>
      <c r="AB1" s="11"/>
      <c r="AC1" s="11"/>
      <c r="AD1" s="11"/>
      <c r="AE1" s="11"/>
      <c r="AF1" s="11"/>
      <c r="AG1" s="11"/>
      <c r="AH1" s="12" t="s">
        <v>5</v>
      </c>
      <c r="AI1" s="12"/>
      <c r="AJ1" s="12"/>
      <c r="AK1" s="12"/>
      <c r="AL1" s="12"/>
      <c r="AM1" s="12"/>
      <c r="AN1" s="12"/>
      <c r="AO1" s="12"/>
      <c r="AP1" s="13" t="s">
        <v>6</v>
      </c>
      <c r="AQ1" s="14" t="s">
        <v>7</v>
      </c>
    </row>
    <row r="2" customFormat="false" ht="15" hidden="false" customHeight="false" outlineLevel="0" collapsed="false">
      <c r="A2" s="15" t="s">
        <v>8</v>
      </c>
      <c r="B2" s="16" t="n">
        <v>1</v>
      </c>
      <c r="C2" s="17" t="n">
        <v>2</v>
      </c>
      <c r="D2" s="17" t="n">
        <v>3</v>
      </c>
      <c r="E2" s="17" t="n">
        <v>4</v>
      </c>
      <c r="F2" s="17" t="n">
        <v>5</v>
      </c>
      <c r="G2" s="17" t="n">
        <v>6</v>
      </c>
      <c r="H2" s="17" t="n">
        <v>7</v>
      </c>
      <c r="I2" s="18" t="n">
        <v>8</v>
      </c>
      <c r="J2" s="19" t="n">
        <v>1</v>
      </c>
      <c r="K2" s="17" t="n">
        <v>2</v>
      </c>
      <c r="L2" s="17" t="n">
        <v>3</v>
      </c>
      <c r="M2" s="17" t="n">
        <v>4</v>
      </c>
      <c r="N2" s="17" t="n">
        <v>5</v>
      </c>
      <c r="O2" s="17" t="n">
        <v>6</v>
      </c>
      <c r="P2" s="17" t="n">
        <v>7</v>
      </c>
      <c r="Q2" s="20" t="n">
        <v>8</v>
      </c>
      <c r="R2" s="21" t="n">
        <v>1</v>
      </c>
      <c r="S2" s="17" t="n">
        <v>2</v>
      </c>
      <c r="T2" s="17" t="n">
        <v>3</v>
      </c>
      <c r="U2" s="17" t="n">
        <v>4</v>
      </c>
      <c r="V2" s="17" t="n">
        <v>5</v>
      </c>
      <c r="W2" s="17" t="n">
        <v>6</v>
      </c>
      <c r="X2" s="17" t="n">
        <v>7</v>
      </c>
      <c r="Y2" s="18" t="n">
        <v>8</v>
      </c>
      <c r="Z2" s="22" t="n">
        <v>1</v>
      </c>
      <c r="AA2" s="17" t="n">
        <v>2</v>
      </c>
      <c r="AB2" s="17" t="n">
        <v>3</v>
      </c>
      <c r="AC2" s="17" t="n">
        <v>4</v>
      </c>
      <c r="AD2" s="17" t="n">
        <v>5</v>
      </c>
      <c r="AE2" s="17" t="n">
        <v>6</v>
      </c>
      <c r="AF2" s="17" t="n">
        <v>7</v>
      </c>
      <c r="AG2" s="18" t="n">
        <v>8</v>
      </c>
      <c r="AH2" s="19" t="n">
        <v>1</v>
      </c>
      <c r="AI2" s="17" t="n">
        <v>2</v>
      </c>
      <c r="AJ2" s="17" t="n">
        <v>3</v>
      </c>
      <c r="AK2" s="17" t="n">
        <v>4</v>
      </c>
      <c r="AL2" s="17" t="n">
        <v>5</v>
      </c>
      <c r="AM2" s="17" t="n">
        <v>6</v>
      </c>
      <c r="AN2" s="17" t="n">
        <v>7</v>
      </c>
      <c r="AO2" s="20" t="n">
        <v>8</v>
      </c>
      <c r="AP2" s="13"/>
      <c r="AQ2" s="14"/>
    </row>
    <row r="3" s="35" customFormat="true" ht="21" hidden="false" customHeight="true" outlineLevel="0" collapsed="false">
      <c r="A3" s="23" t="s">
        <v>9</v>
      </c>
      <c r="B3" s="24"/>
      <c r="C3" s="25" t="s">
        <v>10</v>
      </c>
      <c r="D3" s="26"/>
      <c r="E3" s="26" t="s">
        <v>11</v>
      </c>
      <c r="F3" s="26"/>
      <c r="G3" s="26"/>
      <c r="H3" s="26"/>
      <c r="I3" s="27"/>
      <c r="J3" s="25" t="s">
        <v>11</v>
      </c>
      <c r="K3" s="26" t="s">
        <v>12</v>
      </c>
      <c r="L3" s="26" t="s">
        <v>10</v>
      </c>
      <c r="M3" s="26" t="s">
        <v>13</v>
      </c>
      <c r="N3" s="26" t="s">
        <v>10</v>
      </c>
      <c r="O3" s="26" t="s">
        <v>13</v>
      </c>
      <c r="P3" s="26"/>
      <c r="Q3" s="27"/>
      <c r="R3" s="25" t="s">
        <v>12</v>
      </c>
      <c r="S3" s="26" t="s">
        <v>10</v>
      </c>
      <c r="T3" s="26"/>
      <c r="U3" s="26" t="s">
        <v>11</v>
      </c>
      <c r="V3" s="26" t="s">
        <v>12</v>
      </c>
      <c r="W3" s="26" t="s">
        <v>10</v>
      </c>
      <c r="X3" s="26"/>
      <c r="Y3" s="27"/>
      <c r="Z3" s="25" t="s">
        <v>12</v>
      </c>
      <c r="AA3" s="26" t="s">
        <v>12</v>
      </c>
      <c r="AB3" s="26" t="s">
        <v>12</v>
      </c>
      <c r="AC3" s="26" t="s">
        <v>10</v>
      </c>
      <c r="AD3" s="26" t="s">
        <v>13</v>
      </c>
      <c r="AE3" s="26"/>
      <c r="AF3" s="26"/>
      <c r="AG3" s="27"/>
      <c r="AH3" s="28" t="s">
        <v>11</v>
      </c>
      <c r="AI3" s="29" t="s">
        <v>13</v>
      </c>
      <c r="AJ3" s="29" t="s">
        <v>13</v>
      </c>
      <c r="AK3" s="29"/>
      <c r="AL3" s="29" t="s">
        <v>10</v>
      </c>
      <c r="AM3" s="29" t="s">
        <v>10</v>
      </c>
      <c r="AN3" s="29" t="s">
        <v>11</v>
      </c>
      <c r="AO3" s="30"/>
      <c r="AP3" s="31" t="n">
        <f aca="false">40-COUNTBLANK(B3:AO3)</f>
        <v>24</v>
      </c>
      <c r="AQ3" s="32" t="n">
        <f aca="false">COUNTIF($C3:$AO3,$AS$3)</f>
        <v>0</v>
      </c>
      <c r="AR3" s="33" t="e">
        <f aca="false">INDEX(#REF!,MATCH(Расписание!AS3,#REF!,0))</f>
        <v>#REF!</v>
      </c>
      <c r="AS3" s="34" t="s">
        <v>14</v>
      </c>
      <c r="AT3" s="35" t="s">
        <v>15</v>
      </c>
    </row>
    <row r="4" s="43" customFormat="true" ht="21" hidden="false" customHeight="true" outlineLevel="0" collapsed="false">
      <c r="A4" s="36" t="s">
        <v>16</v>
      </c>
      <c r="B4" s="37"/>
      <c r="C4" s="28" t="s">
        <v>17</v>
      </c>
      <c r="D4" s="29" t="s">
        <v>18</v>
      </c>
      <c r="E4" s="29" t="s">
        <v>12</v>
      </c>
      <c r="F4" s="29" t="s">
        <v>11</v>
      </c>
      <c r="G4" s="29" t="s">
        <v>17</v>
      </c>
      <c r="H4" s="29" t="s">
        <v>18</v>
      </c>
      <c r="I4" s="38"/>
      <c r="J4" s="28" t="s">
        <v>18</v>
      </c>
      <c r="K4" s="29" t="s">
        <v>17</v>
      </c>
      <c r="L4" s="29" t="s">
        <v>11</v>
      </c>
      <c r="M4" s="29" t="s">
        <v>12</v>
      </c>
      <c r="N4" s="29" t="s">
        <v>18</v>
      </c>
      <c r="O4" s="29" t="s">
        <v>17</v>
      </c>
      <c r="P4" s="29"/>
      <c r="Q4" s="38"/>
      <c r="R4" s="28" t="s">
        <v>11</v>
      </c>
      <c r="S4" s="29" t="s">
        <v>12</v>
      </c>
      <c r="T4" s="29" t="s">
        <v>11</v>
      </c>
      <c r="U4" s="29"/>
      <c r="V4" s="29" t="s">
        <v>11</v>
      </c>
      <c r="W4" s="29" t="s">
        <v>17</v>
      </c>
      <c r="X4" s="29"/>
      <c r="Y4" s="38"/>
      <c r="Z4" s="28" t="s">
        <v>17</v>
      </c>
      <c r="AA4" s="29" t="s">
        <v>18</v>
      </c>
      <c r="AB4" s="29" t="s">
        <v>18</v>
      </c>
      <c r="AC4" s="29" t="s">
        <v>11</v>
      </c>
      <c r="AD4" s="29" t="s">
        <v>11</v>
      </c>
      <c r="AE4" s="29"/>
      <c r="AF4" s="29"/>
      <c r="AG4" s="38"/>
      <c r="AH4" s="28" t="s">
        <v>12</v>
      </c>
      <c r="AI4" s="29" t="s">
        <v>18</v>
      </c>
      <c r="AJ4" s="29" t="s">
        <v>12</v>
      </c>
      <c r="AK4" s="29" t="s">
        <v>18</v>
      </c>
      <c r="AL4" s="29"/>
      <c r="AM4" s="29" t="s">
        <v>11</v>
      </c>
      <c r="AN4" s="29"/>
      <c r="AO4" s="30"/>
      <c r="AP4" s="39" t="n">
        <f aca="false">40-COUNTBLANK(B4:AO4)</f>
        <v>27</v>
      </c>
      <c r="AQ4" s="40" t="n">
        <f aca="false">COUNTIF($C4:$AO4,$AS$3)</f>
        <v>0</v>
      </c>
      <c r="AR4" s="41" t="e">
        <f aca="false">INDEX(#REF!,MATCH(Расписание!AS3,#REF!,0))</f>
        <v>#REF!</v>
      </c>
      <c r="AS4" s="42" t="n">
        <f aca="false">COUNTIF(Расписание!C3:AO45,AS3)</f>
        <v>39</v>
      </c>
      <c r="AT4" s="43" t="s">
        <v>19</v>
      </c>
    </row>
    <row r="5" s="43" customFormat="true" ht="21" hidden="false" customHeight="true" outlineLevel="0" collapsed="false">
      <c r="A5" s="36" t="s">
        <v>20</v>
      </c>
      <c r="B5" s="37"/>
      <c r="C5" s="28" t="s">
        <v>21</v>
      </c>
      <c r="D5" s="29" t="s">
        <v>10</v>
      </c>
      <c r="E5" s="29" t="s">
        <v>22</v>
      </c>
      <c r="F5" s="29" t="s">
        <v>23</v>
      </c>
      <c r="G5" s="29" t="s">
        <v>12</v>
      </c>
      <c r="H5" s="29"/>
      <c r="I5" s="38"/>
      <c r="J5" s="28" t="s">
        <v>10</v>
      </c>
      <c r="K5" s="29" t="s">
        <v>23</v>
      </c>
      <c r="L5" s="29" t="s">
        <v>21</v>
      </c>
      <c r="M5" s="29" t="s">
        <v>22</v>
      </c>
      <c r="N5" s="29"/>
      <c r="O5" s="29" t="s">
        <v>10</v>
      </c>
      <c r="P5" s="29" t="s">
        <v>12</v>
      </c>
      <c r="Q5" s="38"/>
      <c r="R5" s="28" t="s">
        <v>10</v>
      </c>
      <c r="S5" s="29" t="s">
        <v>21</v>
      </c>
      <c r="T5" s="29" t="s">
        <v>10</v>
      </c>
      <c r="U5" s="29" t="s">
        <v>21</v>
      </c>
      <c r="V5" s="29" t="s">
        <v>23</v>
      </c>
      <c r="W5" s="29" t="s">
        <v>23</v>
      </c>
      <c r="X5" s="29"/>
      <c r="Y5" s="38"/>
      <c r="Z5" s="28" t="s">
        <v>23</v>
      </c>
      <c r="AA5" s="29" t="s">
        <v>22</v>
      </c>
      <c r="AB5" s="29" t="s">
        <v>21</v>
      </c>
      <c r="AC5" s="29"/>
      <c r="AD5" s="29" t="s">
        <v>22</v>
      </c>
      <c r="AE5" s="29"/>
      <c r="AF5" s="29"/>
      <c r="AG5" s="38"/>
      <c r="AH5" s="28" t="s">
        <v>22</v>
      </c>
      <c r="AI5" s="29"/>
      <c r="AJ5" s="29" t="s">
        <v>22</v>
      </c>
      <c r="AK5" s="29" t="s">
        <v>21</v>
      </c>
      <c r="AL5" s="29" t="s">
        <v>12</v>
      </c>
      <c r="AM5" s="29"/>
      <c r="AN5" s="29"/>
      <c r="AO5" s="30"/>
      <c r="AP5" s="39" t="n">
        <f aca="false">40-COUNTBLANK(B5:AO5)</f>
        <v>25</v>
      </c>
      <c r="AQ5" s="40" t="n">
        <f aca="false">COUNTIF($C5:$AO5,$AS$3)</f>
        <v>0</v>
      </c>
      <c r="AR5" s="41" t="e">
        <f aca="false">INDEX(#REF!,MATCH(Расписание!AS3,#REF!,0))</f>
        <v>#REF!</v>
      </c>
      <c r="AS5" s="42" t="e">
        <f aca="false">INDEX(#REF!,MATCH(Расписание!AS3,#REF!,0))</f>
        <v>#REF!</v>
      </c>
      <c r="AT5" s="43" t="s">
        <v>24</v>
      </c>
    </row>
    <row r="6" s="43" customFormat="true" ht="21" hidden="false" customHeight="true" outlineLevel="0" collapsed="false">
      <c r="A6" s="36" t="s">
        <v>25</v>
      </c>
      <c r="B6" s="37"/>
      <c r="C6" s="44" t="s">
        <v>26</v>
      </c>
      <c r="D6" s="45" t="s">
        <v>22</v>
      </c>
      <c r="E6" s="29" t="s">
        <v>21</v>
      </c>
      <c r="F6" s="29"/>
      <c r="G6" s="29" t="s">
        <v>27</v>
      </c>
      <c r="H6" s="29" t="s">
        <v>12</v>
      </c>
      <c r="I6" s="46"/>
      <c r="J6" s="28" t="s">
        <v>22</v>
      </c>
      <c r="K6" s="29" t="s">
        <v>10</v>
      </c>
      <c r="L6" s="29" t="s">
        <v>12</v>
      </c>
      <c r="M6" s="29" t="s">
        <v>28</v>
      </c>
      <c r="N6" s="29" t="s">
        <v>26</v>
      </c>
      <c r="O6" s="29"/>
      <c r="P6" s="29"/>
      <c r="Q6" s="38"/>
      <c r="R6" s="44" t="s">
        <v>27</v>
      </c>
      <c r="S6" s="29" t="s">
        <v>28</v>
      </c>
      <c r="T6" s="47"/>
      <c r="U6" s="29" t="s">
        <v>29</v>
      </c>
      <c r="V6" s="45" t="s">
        <v>17</v>
      </c>
      <c r="W6" s="28" t="s">
        <v>12</v>
      </c>
      <c r="X6" s="28" t="s">
        <v>11</v>
      </c>
      <c r="Y6" s="46"/>
      <c r="Z6" s="28" t="s">
        <v>11</v>
      </c>
      <c r="AA6" s="29" t="s">
        <v>10</v>
      </c>
      <c r="AB6" s="29" t="s">
        <v>29</v>
      </c>
      <c r="AC6" s="29"/>
      <c r="AD6" s="47"/>
      <c r="AE6" s="29" t="s">
        <v>23</v>
      </c>
      <c r="AF6" s="29"/>
      <c r="AG6" s="38"/>
      <c r="AH6" s="28" t="s">
        <v>13</v>
      </c>
      <c r="AI6" s="29" t="s">
        <v>11</v>
      </c>
      <c r="AJ6" s="29"/>
      <c r="AK6" s="29" t="s">
        <v>17</v>
      </c>
      <c r="AL6" s="29" t="s">
        <v>21</v>
      </c>
      <c r="AM6" s="29" t="s">
        <v>18</v>
      </c>
      <c r="AN6" s="29"/>
      <c r="AO6" s="30"/>
      <c r="AP6" s="39" t="n">
        <f aca="false">40-COUNTBLANK(B6:AO6)</f>
        <v>25</v>
      </c>
      <c r="AQ6" s="40" t="n">
        <f aca="false">COUNTIF($C6:$AO6,$AS$3)</f>
        <v>0</v>
      </c>
      <c r="AR6" s="41" t="e">
        <f aca="false">INDEX(#REF!,MATCH(Расписание!AS3,#REF!,0))</f>
        <v>#REF!</v>
      </c>
    </row>
    <row r="7" s="43" customFormat="true" ht="21" hidden="false" customHeight="true" outlineLevel="0" collapsed="false">
      <c r="A7" s="36" t="s">
        <v>30</v>
      </c>
      <c r="B7" s="37"/>
      <c r="C7" s="48" t="s">
        <v>12</v>
      </c>
      <c r="D7" s="29" t="s">
        <v>21</v>
      </c>
      <c r="E7" s="29"/>
      <c r="F7" s="29"/>
      <c r="G7" s="29"/>
      <c r="H7" s="29" t="s">
        <v>11</v>
      </c>
      <c r="I7" s="38"/>
      <c r="J7" s="28" t="s">
        <v>13</v>
      </c>
      <c r="K7" s="29" t="s">
        <v>13</v>
      </c>
      <c r="L7" s="29" t="s">
        <v>23</v>
      </c>
      <c r="M7" s="29" t="s">
        <v>23</v>
      </c>
      <c r="N7" s="29" t="s">
        <v>12</v>
      </c>
      <c r="O7" s="29" t="s">
        <v>11</v>
      </c>
      <c r="P7" s="29" t="s">
        <v>13</v>
      </c>
      <c r="Q7" s="38" t="s">
        <v>18</v>
      </c>
      <c r="R7" s="28" t="s">
        <v>18</v>
      </c>
      <c r="S7" s="29" t="s">
        <v>13</v>
      </c>
      <c r="T7" s="29" t="s">
        <v>18</v>
      </c>
      <c r="U7" s="29"/>
      <c r="V7" s="29" t="s">
        <v>13</v>
      </c>
      <c r="W7" s="29" t="s">
        <v>18</v>
      </c>
      <c r="X7" s="29" t="s">
        <v>23</v>
      </c>
      <c r="Y7" s="38" t="s">
        <v>23</v>
      </c>
      <c r="Z7" s="28" t="s">
        <v>21</v>
      </c>
      <c r="AA7" s="29"/>
      <c r="AB7" s="29"/>
      <c r="AC7" s="29"/>
      <c r="AD7" s="29" t="s">
        <v>21</v>
      </c>
      <c r="AE7" s="29" t="s">
        <v>18</v>
      </c>
      <c r="AF7" s="29" t="s">
        <v>11</v>
      </c>
      <c r="AG7" s="38"/>
      <c r="AH7" s="28" t="s">
        <v>21</v>
      </c>
      <c r="AI7" s="29" t="s">
        <v>23</v>
      </c>
      <c r="AJ7" s="29"/>
      <c r="AK7" s="29"/>
      <c r="AL7" s="29" t="s">
        <v>11</v>
      </c>
      <c r="AM7" s="29" t="s">
        <v>12</v>
      </c>
      <c r="AN7" s="29" t="s">
        <v>12</v>
      </c>
      <c r="AO7" s="30"/>
      <c r="AP7" s="39" t="n">
        <f aca="false">40-COUNTBLANK(B7:AO7)</f>
        <v>27</v>
      </c>
      <c r="AQ7" s="40" t="n">
        <f aca="false">COUNTIF($C7:$AO7,$AS$3)</f>
        <v>0</v>
      </c>
      <c r="AR7" s="41" t="e">
        <f aca="false">INDEX(#REF!,MATCH(Расписание!AS3,#REF!,0))</f>
        <v>#REF!</v>
      </c>
      <c r="AS7" s="49"/>
      <c r="AT7" s="50" t="s">
        <v>31</v>
      </c>
      <c r="AU7" s="50"/>
      <c r="AV7" s="50"/>
      <c r="AW7" s="50"/>
      <c r="AX7" s="50"/>
      <c r="AY7" s="50"/>
    </row>
    <row r="8" s="35" customFormat="true" ht="21" hidden="false" customHeight="true" outlineLevel="0" collapsed="false">
      <c r="A8" s="36" t="s">
        <v>32</v>
      </c>
      <c r="B8" s="37"/>
      <c r="C8" s="28"/>
      <c r="D8" s="29"/>
      <c r="E8" s="29" t="s">
        <v>10</v>
      </c>
      <c r="F8" s="29" t="s">
        <v>17</v>
      </c>
      <c r="G8" s="29" t="s">
        <v>10</v>
      </c>
      <c r="H8" s="29" t="s">
        <v>11</v>
      </c>
      <c r="I8" s="38"/>
      <c r="J8" s="28" t="s">
        <v>13</v>
      </c>
      <c r="K8" s="29" t="s">
        <v>13</v>
      </c>
      <c r="L8" s="29" t="s">
        <v>23</v>
      </c>
      <c r="M8" s="29" t="s">
        <v>23</v>
      </c>
      <c r="N8" s="29"/>
      <c r="O8" s="29" t="s">
        <v>11</v>
      </c>
      <c r="P8" s="29" t="s">
        <v>13</v>
      </c>
      <c r="Q8" s="38" t="s">
        <v>18</v>
      </c>
      <c r="R8" s="28" t="s">
        <v>18</v>
      </c>
      <c r="S8" s="29" t="s">
        <v>13</v>
      </c>
      <c r="T8" s="29" t="s">
        <v>18</v>
      </c>
      <c r="U8" s="29" t="s">
        <v>10</v>
      </c>
      <c r="V8" s="29" t="s">
        <v>13</v>
      </c>
      <c r="W8" s="29" t="s">
        <v>18</v>
      </c>
      <c r="X8" s="29" t="s">
        <v>23</v>
      </c>
      <c r="Y8" s="38" t="s">
        <v>23</v>
      </c>
      <c r="Z8" s="28"/>
      <c r="AA8" s="29" t="s">
        <v>17</v>
      </c>
      <c r="AB8" s="29" t="s">
        <v>10</v>
      </c>
      <c r="AC8" s="29" t="s">
        <v>17</v>
      </c>
      <c r="AD8" s="29"/>
      <c r="AE8" s="29" t="s">
        <v>18</v>
      </c>
      <c r="AF8" s="29" t="s">
        <v>11</v>
      </c>
      <c r="AG8" s="38"/>
      <c r="AH8" s="28"/>
      <c r="AI8" s="29" t="s">
        <v>23</v>
      </c>
      <c r="AJ8" s="29" t="s">
        <v>17</v>
      </c>
      <c r="AK8" s="29" t="s">
        <v>10</v>
      </c>
      <c r="AL8" s="29" t="s">
        <v>11</v>
      </c>
      <c r="AM8" s="29"/>
      <c r="AN8" s="29"/>
      <c r="AO8" s="30"/>
      <c r="AP8" s="39" t="n">
        <f aca="false">40-COUNTBLANK(B8:AO8)</f>
        <v>28</v>
      </c>
      <c r="AQ8" s="40" t="n">
        <f aca="false">COUNTIF($C8:$AO8,$AS$3)</f>
        <v>0</v>
      </c>
      <c r="AR8" s="33" t="e">
        <f aca="false">INDEX(#REF!,MATCH(Расписание!AS3,#REF!,0))</f>
        <v>#REF!</v>
      </c>
      <c r="AS8" s="51"/>
      <c r="AT8" s="52" t="s">
        <v>33</v>
      </c>
      <c r="AX8" s="43"/>
      <c r="AY8" s="43"/>
    </row>
    <row r="9" s="35" customFormat="true" ht="21" hidden="false" customHeight="true" outlineLevel="0" collapsed="false">
      <c r="A9" s="36" t="s">
        <v>34</v>
      </c>
      <c r="B9" s="37"/>
      <c r="C9" s="28"/>
      <c r="D9" s="29"/>
      <c r="E9" s="29"/>
      <c r="F9" s="29"/>
      <c r="G9" s="29"/>
      <c r="H9" s="29"/>
      <c r="I9" s="38"/>
      <c r="J9" s="28"/>
      <c r="K9" s="29"/>
      <c r="L9" s="29"/>
      <c r="M9" s="29"/>
      <c r="N9" s="29"/>
      <c r="O9" s="29"/>
      <c r="P9" s="29"/>
      <c r="Q9" s="38"/>
      <c r="R9" s="28"/>
      <c r="S9" s="29"/>
      <c r="T9" s="29"/>
      <c r="U9" s="29"/>
      <c r="V9" s="29"/>
      <c r="W9" s="29"/>
      <c r="X9" s="29"/>
      <c r="Y9" s="38"/>
      <c r="Z9" s="53" t="s">
        <v>13</v>
      </c>
      <c r="AA9" s="54" t="s">
        <v>13</v>
      </c>
      <c r="AB9" s="29"/>
      <c r="AC9" s="29"/>
      <c r="AD9" s="29"/>
      <c r="AE9" s="29"/>
      <c r="AF9" s="29"/>
      <c r="AG9" s="38"/>
      <c r="AH9" s="28"/>
      <c r="AI9" s="29"/>
      <c r="AJ9" s="29"/>
      <c r="AK9" s="29"/>
      <c r="AL9" s="54" t="s">
        <v>13</v>
      </c>
      <c r="AM9" s="54" t="s">
        <v>13</v>
      </c>
      <c r="AN9" s="54" t="s">
        <v>13</v>
      </c>
      <c r="AO9" s="30"/>
      <c r="AP9" s="39" t="n">
        <f aca="false">40-COUNTBLANK(B9:AO9)</f>
        <v>5</v>
      </c>
      <c r="AQ9" s="40" t="n">
        <f aca="false">COUNTIF($C9:$AO9,$AS$3)</f>
        <v>0</v>
      </c>
      <c r="AR9" s="33" t="e">
        <f aca="false">INDEX(#REF!,MATCH(Расписание!AS3,#REF!,0))</f>
        <v>#REF!</v>
      </c>
      <c r="AS9" s="51"/>
      <c r="AT9" s="52"/>
      <c r="AX9" s="43"/>
      <c r="AY9" s="43"/>
    </row>
    <row r="10" s="43" customFormat="true" ht="21" hidden="false" customHeight="true" outlineLevel="0" collapsed="false">
      <c r="A10" s="36" t="s">
        <v>35</v>
      </c>
      <c r="B10" s="37"/>
      <c r="C10" s="44" t="s">
        <v>11</v>
      </c>
      <c r="D10" s="28" t="s">
        <v>11</v>
      </c>
      <c r="E10" s="28" t="s">
        <v>23</v>
      </c>
      <c r="F10" s="28" t="s">
        <v>12</v>
      </c>
      <c r="G10" s="29" t="s">
        <v>13</v>
      </c>
      <c r="H10" s="29" t="s">
        <v>13</v>
      </c>
      <c r="I10" s="29"/>
      <c r="J10" s="28"/>
      <c r="K10" s="29"/>
      <c r="L10" s="29" t="s">
        <v>18</v>
      </c>
      <c r="M10" s="29" t="s">
        <v>18</v>
      </c>
      <c r="N10" s="29" t="s">
        <v>13</v>
      </c>
      <c r="O10" s="29" t="s">
        <v>23</v>
      </c>
      <c r="P10" s="29" t="s">
        <v>11</v>
      </c>
      <c r="Q10" s="38"/>
      <c r="R10" s="44"/>
      <c r="S10" s="29" t="s">
        <v>23</v>
      </c>
      <c r="T10" s="29" t="s">
        <v>23</v>
      </c>
      <c r="U10" s="44" t="s">
        <v>18</v>
      </c>
      <c r="V10" s="44" t="s">
        <v>18</v>
      </c>
      <c r="W10" s="55"/>
      <c r="X10" s="55"/>
      <c r="Y10" s="46"/>
      <c r="Z10" s="44" t="s">
        <v>18</v>
      </c>
      <c r="AA10" s="29" t="s">
        <v>11</v>
      </c>
      <c r="AB10" s="29" t="s">
        <v>11</v>
      </c>
      <c r="AC10" s="29" t="s">
        <v>12</v>
      </c>
      <c r="AD10" s="44" t="s">
        <v>18</v>
      </c>
      <c r="AE10" s="29" t="s">
        <v>12</v>
      </c>
      <c r="AF10" s="29"/>
      <c r="AG10" s="38"/>
      <c r="AH10" s="28"/>
      <c r="AI10" s="29" t="s">
        <v>12</v>
      </c>
      <c r="AJ10" s="29" t="s">
        <v>18</v>
      </c>
      <c r="AK10" s="29" t="s">
        <v>12</v>
      </c>
      <c r="AL10" s="29" t="s">
        <v>18</v>
      </c>
      <c r="AM10" s="29"/>
      <c r="AN10" s="29" t="s">
        <v>18</v>
      </c>
      <c r="AO10" s="30"/>
      <c r="AP10" s="39" t="n">
        <f aca="false">40-COUNTBLANK(B10:AO10)</f>
        <v>26</v>
      </c>
      <c r="AQ10" s="40" t="n">
        <f aca="false">COUNTIF($C10:$AO10,$AS$3)</f>
        <v>0</v>
      </c>
      <c r="AR10" s="41" t="e">
        <f aca="false">INDEX(#REF!,MATCH(Расписание!AS3,#REF!,0))</f>
        <v>#REF!</v>
      </c>
    </row>
    <row r="11" s="43" customFormat="true" ht="21" hidden="false" customHeight="true" outlineLevel="0" collapsed="false">
      <c r="A11" s="36" t="s">
        <v>36</v>
      </c>
      <c r="B11" s="37"/>
      <c r="C11" s="44"/>
      <c r="D11" s="55"/>
      <c r="E11" s="55"/>
      <c r="F11" s="55"/>
      <c r="G11" s="55"/>
      <c r="H11" s="55"/>
      <c r="I11" s="46"/>
      <c r="J11" s="56"/>
      <c r="K11" s="57"/>
      <c r="L11" s="57"/>
      <c r="M11" s="57"/>
      <c r="N11" s="57"/>
      <c r="O11" s="57"/>
      <c r="P11" s="57"/>
      <c r="Q11" s="58"/>
      <c r="R11" s="44"/>
      <c r="S11" s="55"/>
      <c r="T11" s="45" t="s">
        <v>22</v>
      </c>
      <c r="U11" s="45"/>
      <c r="V11" s="55"/>
      <c r="W11" s="55"/>
      <c r="X11" s="55"/>
      <c r="Y11" s="46"/>
      <c r="Z11" s="28"/>
      <c r="AA11" s="29"/>
      <c r="AB11" s="29" t="s">
        <v>22</v>
      </c>
      <c r="AC11" s="29"/>
      <c r="AD11" s="29"/>
      <c r="AE11" s="29"/>
      <c r="AF11" s="29"/>
      <c r="AG11" s="38"/>
      <c r="AH11" s="28"/>
      <c r="AI11" s="29" t="s">
        <v>22</v>
      </c>
      <c r="AJ11" s="29"/>
      <c r="AK11" s="29"/>
      <c r="AL11" s="29" t="s">
        <v>22</v>
      </c>
      <c r="AM11" s="29"/>
      <c r="AN11" s="29"/>
      <c r="AO11" s="30"/>
      <c r="AP11" s="39" t="n">
        <f aca="false">40-COUNTBLANK(B11:AO11)</f>
        <v>4</v>
      </c>
      <c r="AQ11" s="40" t="n">
        <f aca="false">COUNTIF($C11:$AO11,$AS$3)</f>
        <v>0</v>
      </c>
      <c r="AR11" s="41" t="e">
        <f aca="false">INDEX(#REF!,MATCH(Расписание!AS3,#REF!,0))</f>
        <v>#REF!</v>
      </c>
    </row>
    <row r="12" s="43" customFormat="true" ht="21" hidden="false" customHeight="true" outlineLevel="0" collapsed="false">
      <c r="A12" s="36" t="s">
        <v>37</v>
      </c>
      <c r="B12" s="37"/>
      <c r="C12" s="44"/>
      <c r="D12" s="55"/>
      <c r="E12" s="45"/>
      <c r="F12" s="45"/>
      <c r="G12" s="55"/>
      <c r="H12" s="55"/>
      <c r="I12" s="46"/>
      <c r="J12" s="28"/>
      <c r="K12" s="29"/>
      <c r="L12" s="29"/>
      <c r="M12" s="29"/>
      <c r="N12" s="29"/>
      <c r="O12" s="29"/>
      <c r="P12" s="29"/>
      <c r="Q12" s="38"/>
      <c r="R12" s="44"/>
      <c r="S12" s="55"/>
      <c r="T12" s="45" t="s">
        <v>22</v>
      </c>
      <c r="U12" s="29"/>
      <c r="V12" s="55"/>
      <c r="W12" s="55"/>
      <c r="X12" s="55"/>
      <c r="Y12" s="46"/>
      <c r="Z12" s="28"/>
      <c r="AA12" s="29"/>
      <c r="AB12" s="29" t="s">
        <v>22</v>
      </c>
      <c r="AC12" s="29"/>
      <c r="AD12" s="29"/>
      <c r="AE12" s="29"/>
      <c r="AF12" s="29"/>
      <c r="AG12" s="38"/>
      <c r="AH12" s="28"/>
      <c r="AI12" s="29" t="s">
        <v>22</v>
      </c>
      <c r="AJ12" s="29"/>
      <c r="AK12" s="29"/>
      <c r="AL12" s="29" t="s">
        <v>22</v>
      </c>
      <c r="AM12" s="29"/>
      <c r="AN12" s="29"/>
      <c r="AO12" s="30"/>
      <c r="AP12" s="39" t="n">
        <f aca="false">40-COUNTBLANK(B12:AO12)</f>
        <v>4</v>
      </c>
      <c r="AQ12" s="40" t="n">
        <f aca="false">COUNTIF($C12:$AO12,$AS$3)</f>
        <v>0</v>
      </c>
      <c r="AR12" s="41" t="e">
        <f aca="false">INDEX(#REF!,MATCH(Расписание!AS3,#REF!,0))</f>
        <v>#REF!</v>
      </c>
    </row>
    <row r="13" s="35" customFormat="true" ht="21" hidden="false" customHeight="true" outlineLevel="0" collapsed="false">
      <c r="A13" s="59" t="s">
        <v>38</v>
      </c>
      <c r="B13" s="60"/>
      <c r="C13" s="48" t="s">
        <v>22</v>
      </c>
      <c r="D13" s="45" t="s">
        <v>17</v>
      </c>
      <c r="E13" s="45" t="s">
        <v>17</v>
      </c>
      <c r="F13" s="45" t="s">
        <v>21</v>
      </c>
      <c r="G13" s="45" t="s">
        <v>21</v>
      </c>
      <c r="H13" s="45"/>
      <c r="I13" s="61"/>
      <c r="J13" s="48"/>
      <c r="K13" s="45" t="s">
        <v>21</v>
      </c>
      <c r="L13" s="45" t="s">
        <v>22</v>
      </c>
      <c r="M13" s="45" t="s">
        <v>21</v>
      </c>
      <c r="N13" s="45"/>
      <c r="O13" s="45" t="s">
        <v>22</v>
      </c>
      <c r="P13" s="45"/>
      <c r="Q13" s="61"/>
      <c r="R13" s="48" t="s">
        <v>17</v>
      </c>
      <c r="S13" s="45" t="s">
        <v>17</v>
      </c>
      <c r="T13" s="45"/>
      <c r="U13" s="45" t="s">
        <v>22</v>
      </c>
      <c r="V13" s="45" t="s">
        <v>22</v>
      </c>
      <c r="W13" s="45"/>
      <c r="X13" s="45"/>
      <c r="Y13" s="61"/>
      <c r="Z13" s="28" t="s">
        <v>22</v>
      </c>
      <c r="AA13" s="45" t="s">
        <v>21</v>
      </c>
      <c r="AB13" s="45" t="s">
        <v>17</v>
      </c>
      <c r="AC13" s="45" t="s">
        <v>21</v>
      </c>
      <c r="AD13" s="45" t="s">
        <v>17</v>
      </c>
      <c r="AE13" s="45" t="s">
        <v>22</v>
      </c>
      <c r="AF13" s="45"/>
      <c r="AG13" s="61"/>
      <c r="AH13" s="48" t="s">
        <v>17</v>
      </c>
      <c r="AI13" s="45" t="s">
        <v>17</v>
      </c>
      <c r="AJ13" s="45" t="s">
        <v>21</v>
      </c>
      <c r="AK13" s="45" t="s">
        <v>22</v>
      </c>
      <c r="AL13" s="45"/>
      <c r="AM13" s="45" t="s">
        <v>21</v>
      </c>
      <c r="AN13" s="45"/>
      <c r="AO13" s="62"/>
      <c r="AP13" s="39" t="n">
        <f aca="false">40-COUNTBLANK(B13:AO13)</f>
        <v>24</v>
      </c>
      <c r="AQ13" s="40" t="n">
        <f aca="false">COUNTIF($C13:$AO13,$AS$3)</f>
        <v>0</v>
      </c>
      <c r="AR13" s="33" t="e">
        <f aca="false">INDEX(#REF!,MATCH(Расписание!AS3,#REF!,0))</f>
        <v>#REF!</v>
      </c>
      <c r="AS13" s="43"/>
    </row>
    <row r="14" s="43" customFormat="true" ht="21" hidden="false" customHeight="true" outlineLevel="0" collapsed="false">
      <c r="A14" s="63" t="s">
        <v>39</v>
      </c>
      <c r="B14" s="64"/>
      <c r="C14" s="48" t="s">
        <v>40</v>
      </c>
      <c r="D14" s="45" t="s">
        <v>41</v>
      </c>
      <c r="E14" s="45"/>
      <c r="F14" s="45" t="s">
        <v>42</v>
      </c>
      <c r="G14" s="45" t="s">
        <v>43</v>
      </c>
      <c r="H14" s="45" t="s">
        <v>44</v>
      </c>
      <c r="I14" s="61"/>
      <c r="J14" s="48" t="s">
        <v>45</v>
      </c>
      <c r="K14" s="45" t="s">
        <v>40</v>
      </c>
      <c r="L14" s="45"/>
      <c r="M14" s="45" t="s">
        <v>42</v>
      </c>
      <c r="N14" s="45" t="s">
        <v>46</v>
      </c>
      <c r="O14" s="45" t="s">
        <v>47</v>
      </c>
      <c r="P14" s="45" t="s">
        <v>14</v>
      </c>
      <c r="Q14" s="61"/>
      <c r="R14" s="48" t="s">
        <v>48</v>
      </c>
      <c r="S14" s="45" t="s">
        <v>45</v>
      </c>
      <c r="T14" s="45" t="s">
        <v>14</v>
      </c>
      <c r="U14" s="45" t="s">
        <v>41</v>
      </c>
      <c r="V14" s="45" t="s">
        <v>44</v>
      </c>
      <c r="W14" s="45" t="s">
        <v>49</v>
      </c>
      <c r="X14" s="45"/>
      <c r="Y14" s="61"/>
      <c r="Z14" s="48" t="s">
        <v>41</v>
      </c>
      <c r="AA14" s="45" t="s">
        <v>43</v>
      </c>
      <c r="AB14" s="45" t="s">
        <v>48</v>
      </c>
      <c r="AC14" s="45" t="s">
        <v>47</v>
      </c>
      <c r="AD14" s="45" t="s">
        <v>49</v>
      </c>
      <c r="AE14" s="45" t="s">
        <v>46</v>
      </c>
      <c r="AF14" s="45" t="s">
        <v>45</v>
      </c>
      <c r="AG14" s="61"/>
      <c r="AH14" s="48" t="s">
        <v>49</v>
      </c>
      <c r="AI14" s="45" t="s">
        <v>14</v>
      </c>
      <c r="AJ14" s="45"/>
      <c r="AK14" s="45" t="s">
        <v>44</v>
      </c>
      <c r="AL14" s="45" t="s">
        <v>42</v>
      </c>
      <c r="AM14" s="45" t="s">
        <v>40</v>
      </c>
      <c r="AN14" s="45"/>
      <c r="AO14" s="62"/>
      <c r="AP14" s="39" t="n">
        <f aca="false">40-COUNTBLANK(B14:AO14)</f>
        <v>29</v>
      </c>
      <c r="AQ14" s="40" t="n">
        <f aca="false">COUNTIF($C14:$AO14,$AS$3)</f>
        <v>3</v>
      </c>
      <c r="AR14" s="41" t="e">
        <f aca="false">INDEX(#REF!,MATCH(Расписание!AS3,#REF!,0))</f>
        <v>#REF!</v>
      </c>
    </row>
    <row r="15" s="43" customFormat="true" ht="21" hidden="false" customHeight="true" outlineLevel="0" collapsed="false">
      <c r="A15" s="65" t="s">
        <v>50</v>
      </c>
      <c r="B15" s="64"/>
      <c r="C15" s="48" t="s">
        <v>12</v>
      </c>
      <c r="D15" s="45" t="s">
        <v>21</v>
      </c>
      <c r="E15" s="45" t="s">
        <v>10</v>
      </c>
      <c r="F15" s="45" t="s">
        <v>17</v>
      </c>
      <c r="G15" s="45" t="s">
        <v>10</v>
      </c>
      <c r="H15" s="45"/>
      <c r="I15" s="61"/>
      <c r="J15" s="48" t="s">
        <v>26</v>
      </c>
      <c r="K15" s="45" t="s">
        <v>28</v>
      </c>
      <c r="L15" s="45" t="s">
        <v>29</v>
      </c>
      <c r="M15" s="45" t="s">
        <v>27</v>
      </c>
      <c r="N15" s="45" t="s">
        <v>12</v>
      </c>
      <c r="O15" s="45" t="s">
        <v>28</v>
      </c>
      <c r="P15" s="45" t="s">
        <v>29</v>
      </c>
      <c r="Q15" s="61"/>
      <c r="R15" s="48" t="s">
        <v>26</v>
      </c>
      <c r="S15" s="45" t="s">
        <v>26</v>
      </c>
      <c r="T15" s="45" t="s">
        <v>28</v>
      </c>
      <c r="U15" s="45" t="s">
        <v>10</v>
      </c>
      <c r="V15" s="45" t="s">
        <v>27</v>
      </c>
      <c r="W15" s="45" t="s">
        <v>29</v>
      </c>
      <c r="X15" s="45" t="s">
        <v>27</v>
      </c>
      <c r="Y15" s="61"/>
      <c r="Z15" s="28" t="s">
        <v>21</v>
      </c>
      <c r="AA15" s="45" t="s">
        <v>17</v>
      </c>
      <c r="AB15" s="45" t="s">
        <v>10</v>
      </c>
      <c r="AC15" s="45" t="s">
        <v>17</v>
      </c>
      <c r="AD15" s="29" t="s">
        <v>21</v>
      </c>
      <c r="AE15" s="29"/>
      <c r="AF15" s="45"/>
      <c r="AG15" s="61"/>
      <c r="AH15" s="48" t="s">
        <v>21</v>
      </c>
      <c r="AI15" s="45"/>
      <c r="AJ15" s="45" t="s">
        <v>17</v>
      </c>
      <c r="AK15" s="45" t="s">
        <v>10</v>
      </c>
      <c r="AL15" s="45"/>
      <c r="AM15" s="45" t="s">
        <v>12</v>
      </c>
      <c r="AN15" s="45" t="s">
        <v>12</v>
      </c>
      <c r="AO15" s="62"/>
      <c r="AP15" s="39" t="n">
        <f aca="false">40-COUNTBLANK(B15:AO15)</f>
        <v>29</v>
      </c>
      <c r="AQ15" s="40" t="n">
        <f aca="false">COUNTIF($C15:$AO15,$AS$3)</f>
        <v>0</v>
      </c>
      <c r="AR15" s="41" t="e">
        <f aca="false">INDEX(#REF!,MATCH(Расписание!AS3,#REF!,0))</f>
        <v>#REF!</v>
      </c>
    </row>
    <row r="16" s="35" customFormat="true" ht="21" hidden="false" customHeight="true" outlineLevel="0" collapsed="false">
      <c r="A16" s="63" t="s">
        <v>51</v>
      </c>
      <c r="B16" s="64"/>
      <c r="C16" s="48"/>
      <c r="D16" s="45"/>
      <c r="E16" s="45"/>
      <c r="F16" s="45" t="s">
        <v>22</v>
      </c>
      <c r="G16" s="45" t="s">
        <v>22</v>
      </c>
      <c r="H16" s="45"/>
      <c r="I16" s="61"/>
      <c r="J16" s="48" t="s">
        <v>21</v>
      </c>
      <c r="K16" s="45"/>
      <c r="L16" s="45"/>
      <c r="M16" s="45"/>
      <c r="N16" s="45" t="s">
        <v>17</v>
      </c>
      <c r="O16" s="45" t="s">
        <v>21</v>
      </c>
      <c r="P16" s="45"/>
      <c r="Q16" s="61"/>
      <c r="R16" s="48" t="s">
        <v>41</v>
      </c>
      <c r="S16" s="45" t="s">
        <v>49</v>
      </c>
      <c r="T16" s="45" t="s">
        <v>40</v>
      </c>
      <c r="U16" s="45" t="s">
        <v>44</v>
      </c>
      <c r="V16" s="45" t="s">
        <v>45</v>
      </c>
      <c r="W16" s="45" t="s">
        <v>42</v>
      </c>
      <c r="X16" s="45" t="s">
        <v>14</v>
      </c>
      <c r="Y16" s="61"/>
      <c r="Z16" s="28" t="s">
        <v>10</v>
      </c>
      <c r="AA16" s="45"/>
      <c r="AB16" s="45"/>
      <c r="AC16" s="45"/>
      <c r="AD16" s="45"/>
      <c r="AE16" s="45" t="s">
        <v>10</v>
      </c>
      <c r="AF16" s="45"/>
      <c r="AG16" s="61"/>
      <c r="AH16" s="28"/>
      <c r="AI16" s="45"/>
      <c r="AJ16" s="45"/>
      <c r="AK16" s="45"/>
      <c r="AL16" s="45"/>
      <c r="AM16" s="45" t="s">
        <v>17</v>
      </c>
      <c r="AN16" s="45"/>
      <c r="AO16" s="62"/>
      <c r="AP16" s="39" t="n">
        <f aca="false">40-COUNTBLANK(B16:AO16)</f>
        <v>15</v>
      </c>
      <c r="AQ16" s="40" t="n">
        <f aca="false">COUNTIF($C16:$AO16,$AS$3)</f>
        <v>1</v>
      </c>
      <c r="AR16" s="33" t="e">
        <f aca="false">INDEX(#REF!,MATCH(Расписание!AS3,#REF!,0))</f>
        <v>#REF!</v>
      </c>
    </row>
    <row r="17" s="43" customFormat="true" ht="21" hidden="false" customHeight="true" outlineLevel="0" collapsed="false">
      <c r="A17" s="63" t="s">
        <v>52</v>
      </c>
      <c r="B17" s="64"/>
      <c r="C17" s="48" t="s">
        <v>49</v>
      </c>
      <c r="D17" s="45" t="s">
        <v>49</v>
      </c>
      <c r="E17" s="45" t="s">
        <v>41</v>
      </c>
      <c r="F17" s="45" t="s">
        <v>41</v>
      </c>
      <c r="G17" s="45"/>
      <c r="H17" s="45"/>
      <c r="I17" s="61"/>
      <c r="J17" s="48"/>
      <c r="K17" s="45"/>
      <c r="L17" s="45"/>
      <c r="M17" s="45"/>
      <c r="N17" s="45" t="s">
        <v>27</v>
      </c>
      <c r="O17" s="45" t="s">
        <v>26</v>
      </c>
      <c r="P17" s="45" t="s">
        <v>28</v>
      </c>
      <c r="Q17" s="61"/>
      <c r="R17" s="48" t="s">
        <v>23</v>
      </c>
      <c r="S17" s="45" t="s">
        <v>11</v>
      </c>
      <c r="T17" s="45" t="s">
        <v>12</v>
      </c>
      <c r="U17" s="45" t="s">
        <v>12</v>
      </c>
      <c r="V17" s="45" t="s">
        <v>29</v>
      </c>
      <c r="W17" s="45" t="s">
        <v>13</v>
      </c>
      <c r="X17" s="45" t="s">
        <v>18</v>
      </c>
      <c r="Y17" s="61"/>
      <c r="Z17" s="28" t="s">
        <v>47</v>
      </c>
      <c r="AA17" s="45" t="s">
        <v>45</v>
      </c>
      <c r="AB17" s="45" t="s">
        <v>14</v>
      </c>
      <c r="AC17" s="45" t="s">
        <v>42</v>
      </c>
      <c r="AD17" s="45" t="s">
        <v>43</v>
      </c>
      <c r="AE17" s="45" t="s">
        <v>48</v>
      </c>
      <c r="AF17" s="29"/>
      <c r="AG17" s="61"/>
      <c r="AH17" s="48" t="s">
        <v>47</v>
      </c>
      <c r="AI17" s="45" t="s">
        <v>48</v>
      </c>
      <c r="AJ17" s="45" t="s">
        <v>46</v>
      </c>
      <c r="AK17" s="45" t="s">
        <v>46</v>
      </c>
      <c r="AL17" s="45" t="s">
        <v>43</v>
      </c>
      <c r="AM17" s="45"/>
      <c r="AN17" s="45"/>
      <c r="AO17" s="62"/>
      <c r="AP17" s="39" t="n">
        <f aca="false">40-COUNTBLANK(B17:AO17)</f>
        <v>25</v>
      </c>
      <c r="AQ17" s="40" t="n">
        <f aca="false">COUNTIF($C17:$AO17,$AS$3)</f>
        <v>1</v>
      </c>
      <c r="AR17" s="41" t="e">
        <f aca="false">INDEX(#REF!,MATCH(Расписание!AS3,#REF!,0))</f>
        <v>#REF!</v>
      </c>
    </row>
    <row r="18" s="43" customFormat="true" ht="21" hidden="false" customHeight="true" outlineLevel="0" collapsed="false">
      <c r="A18" s="63" t="s">
        <v>53</v>
      </c>
      <c r="B18" s="64"/>
      <c r="C18" s="48"/>
      <c r="D18" s="45"/>
      <c r="E18" s="45"/>
      <c r="F18" s="45"/>
      <c r="G18" s="45" t="s">
        <v>40</v>
      </c>
      <c r="H18" s="45"/>
      <c r="I18" s="61"/>
      <c r="J18" s="48" t="s">
        <v>44</v>
      </c>
      <c r="K18" s="45" t="s">
        <v>44</v>
      </c>
      <c r="L18" s="45" t="s">
        <v>40</v>
      </c>
      <c r="M18" s="45"/>
      <c r="N18" s="45" t="s">
        <v>27</v>
      </c>
      <c r="O18" s="45" t="s">
        <v>26</v>
      </c>
      <c r="P18" s="45" t="s">
        <v>28</v>
      </c>
      <c r="Q18" s="61"/>
      <c r="R18" s="48" t="s">
        <v>23</v>
      </c>
      <c r="S18" s="45" t="s">
        <v>11</v>
      </c>
      <c r="T18" s="45" t="s">
        <v>12</v>
      </c>
      <c r="U18" s="45" t="s">
        <v>12</v>
      </c>
      <c r="V18" s="45" t="s">
        <v>29</v>
      </c>
      <c r="W18" s="45" t="s">
        <v>13</v>
      </c>
      <c r="X18" s="45" t="s">
        <v>18</v>
      </c>
      <c r="Y18" s="61"/>
      <c r="Z18" s="28" t="s">
        <v>47</v>
      </c>
      <c r="AA18" s="45" t="s">
        <v>45</v>
      </c>
      <c r="AB18" s="45" t="s">
        <v>14</v>
      </c>
      <c r="AC18" s="45" t="s">
        <v>42</v>
      </c>
      <c r="AD18" s="45" t="s">
        <v>43</v>
      </c>
      <c r="AE18" s="45" t="s">
        <v>48</v>
      </c>
      <c r="AF18" s="45"/>
      <c r="AG18" s="61"/>
      <c r="AH18" s="48" t="s">
        <v>47</v>
      </c>
      <c r="AI18" s="45" t="s">
        <v>48</v>
      </c>
      <c r="AJ18" s="45" t="s">
        <v>46</v>
      </c>
      <c r="AK18" s="45" t="s">
        <v>46</v>
      </c>
      <c r="AL18" s="45" t="s">
        <v>43</v>
      </c>
      <c r="AM18" s="45"/>
      <c r="AN18" s="45"/>
      <c r="AO18" s="62"/>
      <c r="AP18" s="39" t="n">
        <f aca="false">40-COUNTBLANK(B18:AO18)</f>
        <v>25</v>
      </c>
      <c r="AQ18" s="40" t="n">
        <f aca="false">COUNTIF($C18:$AO18,$AS$3)</f>
        <v>1</v>
      </c>
      <c r="AR18" s="41" t="e">
        <f aca="false">INDEX(#REF!,MATCH(Расписание!AS3,#REF!,0))</f>
        <v>#REF!</v>
      </c>
    </row>
    <row r="19" s="35" customFormat="true" ht="21" hidden="false" customHeight="true" outlineLevel="0" collapsed="false">
      <c r="A19" s="66" t="s">
        <v>54</v>
      </c>
      <c r="B19" s="67"/>
      <c r="C19" s="28" t="s">
        <v>49</v>
      </c>
      <c r="D19" s="29" t="s">
        <v>49</v>
      </c>
      <c r="E19" s="29" t="s">
        <v>41</v>
      </c>
      <c r="F19" s="29" t="s">
        <v>41</v>
      </c>
      <c r="G19" s="29" t="s">
        <v>40</v>
      </c>
      <c r="H19" s="29"/>
      <c r="I19" s="58"/>
      <c r="J19" s="48" t="s">
        <v>44</v>
      </c>
      <c r="K19" s="45" t="s">
        <v>44</v>
      </c>
      <c r="L19" s="45" t="s">
        <v>40</v>
      </c>
      <c r="M19" s="45"/>
      <c r="N19" s="45"/>
      <c r="O19" s="45"/>
      <c r="P19" s="45"/>
      <c r="Q19" s="61"/>
      <c r="R19" s="48" t="s">
        <v>22</v>
      </c>
      <c r="S19" s="45" t="s">
        <v>22</v>
      </c>
      <c r="T19" s="45" t="s">
        <v>17</v>
      </c>
      <c r="U19" s="45" t="s">
        <v>17</v>
      </c>
      <c r="V19" s="45" t="s">
        <v>21</v>
      </c>
      <c r="W19" s="45" t="s">
        <v>21</v>
      </c>
      <c r="X19" s="68"/>
      <c r="Y19" s="69"/>
      <c r="Z19" s="28" t="s">
        <v>14</v>
      </c>
      <c r="AA19" s="29" t="s">
        <v>14</v>
      </c>
      <c r="AB19" s="29" t="s">
        <v>45</v>
      </c>
      <c r="AC19" s="29" t="s">
        <v>45</v>
      </c>
      <c r="AD19" s="29" t="s">
        <v>42</v>
      </c>
      <c r="AE19" s="29" t="s">
        <v>42</v>
      </c>
      <c r="AF19" s="29"/>
      <c r="AG19" s="38"/>
      <c r="AH19" s="48" t="s">
        <v>10</v>
      </c>
      <c r="AI19" s="45" t="s">
        <v>10</v>
      </c>
      <c r="AJ19" s="45"/>
      <c r="AK19" s="45"/>
      <c r="AL19" s="45"/>
      <c r="AM19" s="45"/>
      <c r="AN19" s="45"/>
      <c r="AO19" s="70"/>
      <c r="AP19" s="39" t="n">
        <f aca="false">40-COUNTBLANK(B19:AO19)</f>
        <v>22</v>
      </c>
      <c r="AQ19" s="40" t="n">
        <f aca="false">COUNTIF($C19:$AO19,$AS$3)</f>
        <v>2</v>
      </c>
      <c r="AR19" s="33" t="e">
        <f aca="false">INDEX(#REF!,MATCH(Расписание!AS3,#REF!,0))</f>
        <v>#REF!</v>
      </c>
    </row>
    <row r="20" s="43" customFormat="true" ht="21" hidden="false" customHeight="true" outlineLevel="0" collapsed="false">
      <c r="A20" s="65" t="s">
        <v>55</v>
      </c>
      <c r="B20" s="64"/>
      <c r="C20" s="48"/>
      <c r="D20" s="45" t="s">
        <v>12</v>
      </c>
      <c r="E20" s="45" t="s">
        <v>13</v>
      </c>
      <c r="F20" s="45" t="s">
        <v>18</v>
      </c>
      <c r="G20" s="45" t="s">
        <v>11</v>
      </c>
      <c r="H20" s="45"/>
      <c r="I20" s="61"/>
      <c r="J20" s="48" t="s">
        <v>29</v>
      </c>
      <c r="K20" s="45" t="s">
        <v>27</v>
      </c>
      <c r="L20" s="45"/>
      <c r="M20" s="45" t="s">
        <v>26</v>
      </c>
      <c r="N20" s="45" t="s">
        <v>23</v>
      </c>
      <c r="O20" s="45"/>
      <c r="P20" s="45"/>
      <c r="Q20" s="61"/>
      <c r="R20" s="48" t="s">
        <v>22</v>
      </c>
      <c r="S20" s="45" t="s">
        <v>22</v>
      </c>
      <c r="T20" s="45" t="s">
        <v>17</v>
      </c>
      <c r="U20" s="45" t="s">
        <v>17</v>
      </c>
      <c r="V20" s="45" t="s">
        <v>21</v>
      </c>
      <c r="W20" s="45" t="s">
        <v>21</v>
      </c>
      <c r="X20" s="45" t="s">
        <v>28</v>
      </c>
      <c r="Y20" s="61"/>
      <c r="Z20" s="28" t="s">
        <v>14</v>
      </c>
      <c r="AA20" s="45" t="s">
        <v>14</v>
      </c>
      <c r="AB20" s="45" t="s">
        <v>45</v>
      </c>
      <c r="AC20" s="45" t="s">
        <v>45</v>
      </c>
      <c r="AD20" s="45" t="s">
        <v>42</v>
      </c>
      <c r="AE20" s="45" t="s">
        <v>42</v>
      </c>
      <c r="AF20" s="45"/>
      <c r="AG20" s="61"/>
      <c r="AH20" s="48" t="s">
        <v>10</v>
      </c>
      <c r="AI20" s="45" t="s">
        <v>10</v>
      </c>
      <c r="AJ20" s="45" t="s">
        <v>26</v>
      </c>
      <c r="AK20" s="45" t="s">
        <v>27</v>
      </c>
      <c r="AL20" s="45" t="s">
        <v>28</v>
      </c>
      <c r="AM20" s="45" t="s">
        <v>29</v>
      </c>
      <c r="AN20" s="45"/>
      <c r="AO20" s="62"/>
      <c r="AP20" s="39" t="n">
        <f aca="false">40-COUNTBLANK(B20:AO20)</f>
        <v>27</v>
      </c>
      <c r="AQ20" s="40" t="n">
        <f aca="false">COUNTIF($C20:$AO20,$AS$3)</f>
        <v>2</v>
      </c>
      <c r="AR20" s="41" t="e">
        <f aca="false">INDEX(#REF!,MATCH(Расписание!AS3,#REF!,0))</f>
        <v>#REF!</v>
      </c>
    </row>
    <row r="21" s="43" customFormat="true" ht="21" hidden="false" customHeight="true" outlineLevel="0" collapsed="false">
      <c r="A21" s="63" t="s">
        <v>56</v>
      </c>
      <c r="B21" s="64"/>
      <c r="C21" s="71" t="s">
        <v>23</v>
      </c>
      <c r="D21" s="72" t="s">
        <v>26</v>
      </c>
      <c r="E21" s="72" t="s">
        <v>29</v>
      </c>
      <c r="F21" s="72" t="s">
        <v>26</v>
      </c>
      <c r="G21" s="72" t="s">
        <v>29</v>
      </c>
      <c r="H21" s="72" t="s">
        <v>28</v>
      </c>
      <c r="I21" s="73"/>
      <c r="J21" s="71" t="s">
        <v>12</v>
      </c>
      <c r="K21" s="72" t="s">
        <v>11</v>
      </c>
      <c r="L21" s="72" t="s">
        <v>13</v>
      </c>
      <c r="M21" s="54" t="s">
        <v>11</v>
      </c>
      <c r="N21" s="72"/>
      <c r="O21" s="72" t="s">
        <v>18</v>
      </c>
      <c r="P21" s="72" t="s">
        <v>27</v>
      </c>
      <c r="Q21" s="73"/>
      <c r="R21" s="48" t="s">
        <v>47</v>
      </c>
      <c r="S21" s="45"/>
      <c r="T21" s="45" t="s">
        <v>43</v>
      </c>
      <c r="U21" s="45"/>
      <c r="V21" s="45" t="s">
        <v>46</v>
      </c>
      <c r="W21" s="45" t="s">
        <v>48</v>
      </c>
      <c r="X21" s="45"/>
      <c r="Y21" s="61"/>
      <c r="Z21" s="71" t="s">
        <v>29</v>
      </c>
      <c r="AA21" s="72" t="s">
        <v>27</v>
      </c>
      <c r="AB21" s="72" t="s">
        <v>26</v>
      </c>
      <c r="AC21" s="72" t="s">
        <v>28</v>
      </c>
      <c r="AD21" s="72" t="s">
        <v>27</v>
      </c>
      <c r="AE21" s="72" t="s">
        <v>28</v>
      </c>
      <c r="AF21" s="72" t="s">
        <v>12</v>
      </c>
      <c r="AG21" s="73"/>
      <c r="AH21" s="48" t="s">
        <v>43</v>
      </c>
      <c r="AI21" s="45" t="s">
        <v>46</v>
      </c>
      <c r="AJ21" s="45"/>
      <c r="AK21" s="45" t="s">
        <v>47</v>
      </c>
      <c r="AL21" s="45" t="s">
        <v>48</v>
      </c>
      <c r="AM21" s="45"/>
      <c r="AN21" s="45"/>
      <c r="AO21" s="62"/>
      <c r="AP21" s="39" t="n">
        <f aca="false">40-COUNTBLANK(B21:AO21)</f>
        <v>27</v>
      </c>
      <c r="AQ21" s="40" t="n">
        <f aca="false">COUNTIF($C21:$AO21,$AS$3)</f>
        <v>0</v>
      </c>
      <c r="AR21" s="41" t="e">
        <f aca="false">INDEX(#REF!,MATCH(Расписание!AS3,#REF!,0))</f>
        <v>#REF!</v>
      </c>
    </row>
    <row r="22" s="43" customFormat="true" ht="21" hidden="false" customHeight="true" outlineLevel="0" collapsed="false">
      <c r="A22" s="65" t="s">
        <v>57</v>
      </c>
      <c r="B22" s="64"/>
      <c r="C22" s="71" t="s">
        <v>29</v>
      </c>
      <c r="D22" s="72" t="s">
        <v>13</v>
      </c>
      <c r="E22" s="72" t="s">
        <v>27</v>
      </c>
      <c r="F22" s="72" t="s">
        <v>28</v>
      </c>
      <c r="G22" s="72" t="s">
        <v>18</v>
      </c>
      <c r="H22" s="72"/>
      <c r="I22" s="73"/>
      <c r="J22" s="48" t="s">
        <v>48</v>
      </c>
      <c r="K22" s="45" t="s">
        <v>46</v>
      </c>
      <c r="L22" s="45" t="s">
        <v>48</v>
      </c>
      <c r="M22" s="45" t="s">
        <v>43</v>
      </c>
      <c r="N22" s="45" t="s">
        <v>47</v>
      </c>
      <c r="O22" s="45" t="s">
        <v>46</v>
      </c>
      <c r="P22" s="45"/>
      <c r="Q22" s="61"/>
      <c r="R22" s="71"/>
      <c r="S22" s="72" t="s">
        <v>29</v>
      </c>
      <c r="T22" s="72" t="s">
        <v>26</v>
      </c>
      <c r="U22" s="72" t="s">
        <v>27</v>
      </c>
      <c r="V22" s="72"/>
      <c r="W22" s="72" t="s">
        <v>11</v>
      </c>
      <c r="X22" s="72" t="s">
        <v>12</v>
      </c>
      <c r="Y22" s="73"/>
      <c r="Z22" s="48" t="s">
        <v>48</v>
      </c>
      <c r="AA22" s="45" t="s">
        <v>46</v>
      </c>
      <c r="AB22" s="45" t="s">
        <v>47</v>
      </c>
      <c r="AC22" s="45" t="s">
        <v>43</v>
      </c>
      <c r="AD22" s="45" t="s">
        <v>47</v>
      </c>
      <c r="AE22" s="45" t="s">
        <v>43</v>
      </c>
      <c r="AF22" s="45"/>
      <c r="AG22" s="61"/>
      <c r="AH22" s="71" t="s">
        <v>26</v>
      </c>
      <c r="AI22" s="72"/>
      <c r="AJ22" s="72" t="s">
        <v>11</v>
      </c>
      <c r="AK22" s="72" t="s">
        <v>28</v>
      </c>
      <c r="AL22" s="72" t="s">
        <v>23</v>
      </c>
      <c r="AM22" s="72"/>
      <c r="AN22" s="72"/>
      <c r="AO22" s="74"/>
      <c r="AP22" s="39" t="n">
        <f aca="false">40-COUNTBLANK(B22:AO22)</f>
        <v>26</v>
      </c>
      <c r="AQ22" s="40" t="n">
        <f aca="false">COUNTIF($C22:$AO22,$AS$3)</f>
        <v>0</v>
      </c>
      <c r="AR22" s="41" t="e">
        <f aca="false">INDEX(#REF!,MATCH(Расписание!AS3,#REF!,0))</f>
        <v>#REF!</v>
      </c>
    </row>
    <row r="23" s="43" customFormat="true" ht="21" hidden="false" customHeight="true" outlineLevel="0" collapsed="false">
      <c r="A23" s="65" t="s">
        <v>58</v>
      </c>
      <c r="B23" s="64"/>
      <c r="C23" s="48" t="s">
        <v>18</v>
      </c>
      <c r="D23" s="45" t="s">
        <v>29</v>
      </c>
      <c r="E23" s="45" t="s">
        <v>18</v>
      </c>
      <c r="F23" s="45" t="s">
        <v>27</v>
      </c>
      <c r="G23" s="45" t="s">
        <v>26</v>
      </c>
      <c r="H23" s="45" t="s">
        <v>23</v>
      </c>
      <c r="I23" s="61"/>
      <c r="J23" s="48" t="s">
        <v>23</v>
      </c>
      <c r="K23" s="45" t="s">
        <v>18</v>
      </c>
      <c r="L23" s="45" t="s">
        <v>27</v>
      </c>
      <c r="M23" s="45" t="s">
        <v>29</v>
      </c>
      <c r="N23" s="45" t="s">
        <v>29</v>
      </c>
      <c r="O23" s="45" t="s">
        <v>27</v>
      </c>
      <c r="P23" s="45" t="s">
        <v>23</v>
      </c>
      <c r="Q23" s="61"/>
      <c r="R23" s="48" t="s">
        <v>29</v>
      </c>
      <c r="S23" s="45"/>
      <c r="T23" s="45"/>
      <c r="U23" s="45" t="s">
        <v>26</v>
      </c>
      <c r="V23" s="45" t="s">
        <v>26</v>
      </c>
      <c r="W23" s="45" t="s">
        <v>27</v>
      </c>
      <c r="X23" s="45"/>
      <c r="Y23" s="61"/>
      <c r="Z23" s="28" t="s">
        <v>27</v>
      </c>
      <c r="AA23" s="45" t="s">
        <v>23</v>
      </c>
      <c r="AB23" s="45"/>
      <c r="AC23" s="45" t="s">
        <v>18</v>
      </c>
      <c r="AD23" s="45" t="s">
        <v>23</v>
      </c>
      <c r="AE23" s="45" t="s">
        <v>29</v>
      </c>
      <c r="AF23" s="45" t="s">
        <v>23</v>
      </c>
      <c r="AG23" s="61"/>
      <c r="AH23" s="48" t="s">
        <v>18</v>
      </c>
      <c r="AI23" s="45" t="s">
        <v>27</v>
      </c>
      <c r="AJ23" s="45" t="s">
        <v>23</v>
      </c>
      <c r="AK23" s="45" t="s">
        <v>23</v>
      </c>
      <c r="AL23" s="45" t="s">
        <v>29</v>
      </c>
      <c r="AM23" s="45" t="s">
        <v>23</v>
      </c>
      <c r="AN23" s="45"/>
      <c r="AO23" s="62"/>
      <c r="AP23" s="39" t="n">
        <f aca="false">40-COUNTBLANK(B23:AO23)</f>
        <v>29</v>
      </c>
      <c r="AQ23" s="40" t="n">
        <f aca="false">COUNTIF($C23:$AO23,$AS$3)</f>
        <v>0</v>
      </c>
      <c r="AR23" s="41" t="e">
        <f aca="false">INDEX(#REF!,MATCH(Расписание!AS3,#REF!,0))</f>
        <v>#REF!</v>
      </c>
    </row>
    <row r="24" s="43" customFormat="true" ht="21" hidden="false" customHeight="true" outlineLevel="0" collapsed="false">
      <c r="A24" s="65" t="s">
        <v>59</v>
      </c>
      <c r="B24" s="64"/>
      <c r="C24" s="48" t="s">
        <v>13</v>
      </c>
      <c r="D24" s="45" t="s">
        <v>27</v>
      </c>
      <c r="E24" s="45" t="s">
        <v>28</v>
      </c>
      <c r="F24" s="45" t="s">
        <v>13</v>
      </c>
      <c r="G24" s="45" t="s">
        <v>28</v>
      </c>
      <c r="H24" s="45" t="s">
        <v>29</v>
      </c>
      <c r="I24" s="61"/>
      <c r="J24" s="48" t="s">
        <v>27</v>
      </c>
      <c r="K24" s="45" t="s">
        <v>29</v>
      </c>
      <c r="L24" s="45" t="s">
        <v>28</v>
      </c>
      <c r="M24" s="45"/>
      <c r="N24" s="45" t="s">
        <v>28</v>
      </c>
      <c r="O24" s="45" t="s">
        <v>29</v>
      </c>
      <c r="P24" s="45"/>
      <c r="Q24" s="61"/>
      <c r="R24" s="48" t="s">
        <v>13</v>
      </c>
      <c r="S24" s="45" t="s">
        <v>27</v>
      </c>
      <c r="T24" s="45" t="s">
        <v>29</v>
      </c>
      <c r="U24" s="45" t="s">
        <v>28</v>
      </c>
      <c r="V24" s="45" t="s">
        <v>28</v>
      </c>
      <c r="W24" s="45"/>
      <c r="X24" s="45" t="s">
        <v>13</v>
      </c>
      <c r="Y24" s="61"/>
      <c r="Z24" s="48"/>
      <c r="AA24" s="45"/>
      <c r="AB24" s="45" t="s">
        <v>13</v>
      </c>
      <c r="AC24" s="45" t="s">
        <v>13</v>
      </c>
      <c r="AD24" s="45" t="s">
        <v>29</v>
      </c>
      <c r="AE24" s="45" t="s">
        <v>13</v>
      </c>
      <c r="AF24" s="45" t="s">
        <v>27</v>
      </c>
      <c r="AG24" s="61"/>
      <c r="AH24" s="48" t="s">
        <v>29</v>
      </c>
      <c r="AI24" s="45" t="s">
        <v>29</v>
      </c>
      <c r="AJ24" s="45" t="s">
        <v>28</v>
      </c>
      <c r="AK24" s="45" t="s">
        <v>13</v>
      </c>
      <c r="AL24" s="45" t="s">
        <v>27</v>
      </c>
      <c r="AM24" s="45" t="s">
        <v>27</v>
      </c>
      <c r="AN24" s="45" t="s">
        <v>27</v>
      </c>
      <c r="AO24" s="62"/>
      <c r="AP24" s="39" t="n">
        <f aca="false">40-COUNTBLANK(B24:AO24)</f>
        <v>29</v>
      </c>
      <c r="AQ24" s="40" t="n">
        <f aca="false">COUNTIF($C24:$AO24,$AS$3)</f>
        <v>0</v>
      </c>
      <c r="AR24" s="41" t="e">
        <f aca="false">INDEX(#REF!,MATCH(Расписание!AS3,#REF!,0))</f>
        <v>#REF!</v>
      </c>
    </row>
    <row r="25" s="43" customFormat="true" ht="21" hidden="false" customHeight="true" outlineLevel="0" collapsed="false">
      <c r="A25" s="65" t="s">
        <v>60</v>
      </c>
      <c r="B25" s="64"/>
      <c r="C25" s="75"/>
      <c r="D25" s="76"/>
      <c r="E25" s="76"/>
      <c r="F25" s="76"/>
      <c r="G25" s="76"/>
      <c r="H25" s="76"/>
      <c r="I25" s="77"/>
      <c r="J25" s="48" t="s">
        <v>17</v>
      </c>
      <c r="K25" s="45" t="s">
        <v>22</v>
      </c>
      <c r="L25" s="45" t="s">
        <v>17</v>
      </c>
      <c r="M25" s="45"/>
      <c r="N25" s="45" t="s">
        <v>11</v>
      </c>
      <c r="O25" s="45" t="s">
        <v>12</v>
      </c>
      <c r="P25" s="45" t="s">
        <v>18</v>
      </c>
      <c r="Q25" s="61"/>
      <c r="R25" s="48" t="s">
        <v>21</v>
      </c>
      <c r="S25" s="45"/>
      <c r="T25" s="45" t="s">
        <v>13</v>
      </c>
      <c r="U25" s="45" t="s">
        <v>13</v>
      </c>
      <c r="V25" s="45" t="s">
        <v>10</v>
      </c>
      <c r="W25" s="45" t="s">
        <v>22</v>
      </c>
      <c r="X25" s="45"/>
      <c r="Y25" s="61"/>
      <c r="Z25" s="78"/>
      <c r="AA25" s="79"/>
      <c r="AB25" s="79"/>
      <c r="AC25" s="79"/>
      <c r="AD25" s="79"/>
      <c r="AE25" s="79"/>
      <c r="AF25" s="79"/>
      <c r="AG25" s="80"/>
      <c r="AH25" s="48" t="s">
        <v>23</v>
      </c>
      <c r="AI25" s="45" t="s">
        <v>21</v>
      </c>
      <c r="AJ25" s="45" t="s">
        <v>10</v>
      </c>
      <c r="AK25" s="45" t="s">
        <v>11</v>
      </c>
      <c r="AL25" s="45"/>
      <c r="AM25" s="45"/>
      <c r="AN25" s="45"/>
      <c r="AO25" s="62"/>
      <c r="AP25" s="39" t="n">
        <f aca="false">40-COUNTBLANK(B25:AO25)</f>
        <v>15</v>
      </c>
      <c r="AQ25" s="40" t="n">
        <f aca="false">COUNTIF($C25:$AO25,$AS$3)</f>
        <v>0</v>
      </c>
      <c r="AR25" s="41" t="e">
        <f aca="false">INDEX(#REF!,MATCH(Расписание!AS3,#REF!,0))</f>
        <v>#REF!</v>
      </c>
    </row>
    <row r="26" s="83" customFormat="true" ht="21" hidden="false" customHeight="true" outlineLevel="0" collapsed="false">
      <c r="A26" s="81" t="s">
        <v>61</v>
      </c>
      <c r="B26" s="82"/>
      <c r="C26" s="48"/>
      <c r="D26" s="45" t="s">
        <v>40</v>
      </c>
      <c r="E26" s="45" t="s">
        <v>46</v>
      </c>
      <c r="F26" s="45" t="s">
        <v>43</v>
      </c>
      <c r="G26" s="45"/>
      <c r="H26" s="45" t="s">
        <v>49</v>
      </c>
      <c r="I26" s="61" t="s">
        <v>48</v>
      </c>
      <c r="J26" s="48" t="s">
        <v>14</v>
      </c>
      <c r="K26" s="45" t="s">
        <v>48</v>
      </c>
      <c r="L26" s="45" t="s">
        <v>45</v>
      </c>
      <c r="M26" s="45" t="s">
        <v>46</v>
      </c>
      <c r="N26" s="45"/>
      <c r="O26" s="45"/>
      <c r="P26" s="45" t="s">
        <v>47</v>
      </c>
      <c r="Q26" s="61"/>
      <c r="R26" s="71" t="s">
        <v>28</v>
      </c>
      <c r="S26" s="72" t="s">
        <v>18</v>
      </c>
      <c r="T26" s="72" t="s">
        <v>27</v>
      </c>
      <c r="U26" s="72" t="s">
        <v>23</v>
      </c>
      <c r="V26" s="72"/>
      <c r="W26" s="72" t="s">
        <v>26</v>
      </c>
      <c r="X26" s="72" t="s">
        <v>29</v>
      </c>
      <c r="Y26" s="73"/>
      <c r="Z26" s="53" t="s">
        <v>26</v>
      </c>
      <c r="AA26" s="72" t="s">
        <v>28</v>
      </c>
      <c r="AB26" s="72"/>
      <c r="AC26" s="72" t="s">
        <v>27</v>
      </c>
      <c r="AD26" s="72" t="s">
        <v>12</v>
      </c>
      <c r="AE26" s="72"/>
      <c r="AF26" s="72" t="s">
        <v>29</v>
      </c>
      <c r="AG26" s="73"/>
      <c r="AH26" s="48"/>
      <c r="AI26" s="45" t="s">
        <v>44</v>
      </c>
      <c r="AJ26" s="45" t="s">
        <v>41</v>
      </c>
      <c r="AK26" s="45" t="s">
        <v>43</v>
      </c>
      <c r="AL26" s="45" t="s">
        <v>47</v>
      </c>
      <c r="AM26" s="45" t="s">
        <v>42</v>
      </c>
      <c r="AN26" s="45"/>
      <c r="AO26" s="62"/>
      <c r="AP26" s="39" t="n">
        <f aca="false">40-COUNTBLANK(B26:AO26)</f>
        <v>26</v>
      </c>
      <c r="AQ26" s="40" t="n">
        <f aca="false">COUNTIF($C26:$AO26,$AS$3)</f>
        <v>1</v>
      </c>
      <c r="AR26" s="41" t="e">
        <f aca="false">INDEX(#REF!,MATCH(Расписание!AS3,#REF!,0))</f>
        <v>#REF!</v>
      </c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  <c r="QI26" s="43"/>
      <c r="QJ26" s="43"/>
      <c r="QK26" s="43"/>
      <c r="QL26" s="43"/>
      <c r="QM26" s="43"/>
      <c r="QN26" s="43"/>
      <c r="QO26" s="43"/>
      <c r="QP26" s="43"/>
      <c r="QQ26" s="43"/>
      <c r="QR26" s="43"/>
      <c r="QS26" s="43"/>
      <c r="QT26" s="43"/>
      <c r="QU26" s="43"/>
      <c r="QV26" s="43"/>
      <c r="QW26" s="43"/>
      <c r="QX26" s="43"/>
      <c r="QY26" s="43"/>
      <c r="QZ26" s="43"/>
      <c r="RA26" s="43"/>
      <c r="RB26" s="43"/>
      <c r="RC26" s="43"/>
      <c r="RD26" s="43"/>
      <c r="RE26" s="43"/>
      <c r="RF26" s="43"/>
      <c r="RG26" s="43"/>
      <c r="RH26" s="43"/>
      <c r="RI26" s="43"/>
      <c r="RJ26" s="43"/>
      <c r="RK26" s="43"/>
      <c r="RL26" s="43"/>
      <c r="RM26" s="43"/>
      <c r="RN26" s="43"/>
      <c r="RO26" s="43"/>
      <c r="RP26" s="43"/>
      <c r="RQ26" s="43"/>
      <c r="RR26" s="43"/>
      <c r="RS26" s="43"/>
      <c r="RT26" s="43"/>
      <c r="RU26" s="43"/>
      <c r="RV26" s="43"/>
      <c r="RW26" s="43"/>
      <c r="RX26" s="43"/>
      <c r="RY26" s="43"/>
      <c r="RZ26" s="43"/>
      <c r="SA26" s="43"/>
      <c r="SB26" s="43"/>
      <c r="SC26" s="43"/>
      <c r="SD26" s="43"/>
      <c r="SE26" s="43"/>
      <c r="SF26" s="43"/>
      <c r="SG26" s="43"/>
      <c r="SH26" s="43"/>
      <c r="SI26" s="43"/>
      <c r="SJ26" s="43"/>
      <c r="SK26" s="43"/>
      <c r="SL26" s="43"/>
      <c r="SM26" s="43"/>
      <c r="SN26" s="43"/>
      <c r="SO26" s="43"/>
      <c r="SP26" s="43"/>
      <c r="SQ26" s="43"/>
      <c r="SR26" s="43"/>
      <c r="SS26" s="43"/>
      <c r="ST26" s="43"/>
      <c r="SU26" s="43"/>
      <c r="SV26" s="43"/>
      <c r="SW26" s="43"/>
      <c r="SX26" s="43"/>
      <c r="SY26" s="43"/>
      <c r="SZ26" s="43"/>
      <c r="TA26" s="43"/>
      <c r="TB26" s="43"/>
      <c r="TC26" s="43"/>
      <c r="TD26" s="43"/>
      <c r="TE26" s="43"/>
      <c r="TF26" s="43"/>
      <c r="TG26" s="43"/>
      <c r="TH26" s="43"/>
      <c r="TI26" s="43"/>
      <c r="TJ26" s="43"/>
      <c r="TK26" s="43"/>
      <c r="TL26" s="43"/>
      <c r="TM26" s="43"/>
      <c r="TN26" s="43"/>
      <c r="TO26" s="43"/>
      <c r="TP26" s="43"/>
      <c r="TQ26" s="43"/>
      <c r="TR26" s="43"/>
      <c r="TS26" s="43"/>
      <c r="TT26" s="43"/>
      <c r="TU26" s="43"/>
      <c r="TV26" s="43"/>
      <c r="TW26" s="43"/>
      <c r="TX26" s="43"/>
      <c r="TY26" s="43"/>
      <c r="TZ26" s="43"/>
      <c r="UA26" s="43"/>
      <c r="UB26" s="43"/>
      <c r="UC26" s="43"/>
      <c r="UD26" s="43"/>
      <c r="UE26" s="43"/>
      <c r="UF26" s="43"/>
      <c r="UG26" s="43"/>
      <c r="UH26" s="43"/>
      <c r="UI26" s="43"/>
      <c r="UJ26" s="43"/>
      <c r="UK26" s="43"/>
      <c r="UL26" s="43"/>
      <c r="UM26" s="43"/>
      <c r="UN26" s="43"/>
      <c r="UO26" s="43"/>
      <c r="UP26" s="43"/>
      <c r="UQ26" s="43"/>
      <c r="UR26" s="43"/>
      <c r="US26" s="43"/>
      <c r="UT26" s="43"/>
      <c r="UU26" s="43"/>
      <c r="UV26" s="43"/>
      <c r="UW26" s="43"/>
      <c r="UX26" s="43"/>
      <c r="UY26" s="43"/>
      <c r="UZ26" s="43"/>
      <c r="VA26" s="43"/>
      <c r="VB26" s="43"/>
      <c r="VC26" s="43"/>
      <c r="VD26" s="43"/>
      <c r="VE26" s="43"/>
      <c r="VF26" s="43"/>
      <c r="VG26" s="43"/>
      <c r="VH26" s="43"/>
      <c r="VI26" s="43"/>
      <c r="VJ26" s="43"/>
      <c r="VK26" s="43"/>
      <c r="VL26" s="43"/>
      <c r="VM26" s="43"/>
      <c r="VN26" s="43"/>
      <c r="VO26" s="43"/>
      <c r="VP26" s="43"/>
      <c r="VQ26" s="43"/>
      <c r="VR26" s="43"/>
      <c r="VS26" s="43"/>
      <c r="VT26" s="43"/>
      <c r="VU26" s="43"/>
      <c r="VV26" s="43"/>
      <c r="VW26" s="43"/>
      <c r="VX26" s="43"/>
      <c r="VY26" s="43"/>
      <c r="VZ26" s="43"/>
      <c r="WA26" s="43"/>
      <c r="WB26" s="43"/>
      <c r="WC26" s="43"/>
      <c r="WD26" s="43"/>
      <c r="WE26" s="43"/>
      <c r="WF26" s="43"/>
      <c r="WG26" s="43"/>
      <c r="WH26" s="43"/>
      <c r="WI26" s="43"/>
      <c r="WJ26" s="43"/>
      <c r="WK26" s="43"/>
      <c r="WL26" s="43"/>
      <c r="WM26" s="43"/>
      <c r="WN26" s="43"/>
      <c r="WO26" s="43"/>
      <c r="WP26" s="43"/>
      <c r="WQ26" s="43"/>
      <c r="WR26" s="43"/>
      <c r="WS26" s="43"/>
      <c r="WT26" s="43"/>
      <c r="WU26" s="43"/>
      <c r="WV26" s="43"/>
      <c r="WW26" s="43"/>
      <c r="WX26" s="43"/>
      <c r="WY26" s="43"/>
      <c r="WZ26" s="43"/>
      <c r="XA26" s="43"/>
      <c r="XB26" s="43"/>
      <c r="XC26" s="43"/>
      <c r="XD26" s="43"/>
      <c r="XE26" s="43"/>
      <c r="XF26" s="43"/>
      <c r="XG26" s="43"/>
      <c r="XH26" s="43"/>
      <c r="XI26" s="43"/>
    </row>
    <row r="27" s="89" customFormat="true" ht="21" hidden="false" customHeight="true" outlineLevel="0" collapsed="false">
      <c r="A27" s="84" t="s">
        <v>62</v>
      </c>
      <c r="B27" s="85"/>
      <c r="C27" s="86" t="s">
        <v>48</v>
      </c>
      <c r="D27" s="87" t="s">
        <v>46</v>
      </c>
      <c r="E27" s="87" t="s">
        <v>47</v>
      </c>
      <c r="F27" s="88" t="s">
        <v>46</v>
      </c>
      <c r="G27" s="87" t="s">
        <v>41</v>
      </c>
      <c r="I27" s="90"/>
      <c r="J27" s="91" t="s">
        <v>41</v>
      </c>
      <c r="K27" s="87" t="s">
        <v>43</v>
      </c>
      <c r="L27" s="87" t="s">
        <v>41</v>
      </c>
      <c r="M27" s="87" t="s">
        <v>41</v>
      </c>
      <c r="N27" s="88" t="s">
        <v>48</v>
      </c>
      <c r="O27" s="87"/>
      <c r="P27" s="87"/>
      <c r="Q27" s="90"/>
      <c r="R27" s="91" t="s">
        <v>43</v>
      </c>
      <c r="S27" s="87" t="s">
        <v>46</v>
      </c>
      <c r="T27" s="87" t="s">
        <v>41</v>
      </c>
      <c r="U27" s="87" t="s">
        <v>48</v>
      </c>
      <c r="V27" s="87" t="s">
        <v>41</v>
      </c>
      <c r="W27" s="87"/>
      <c r="X27" s="87"/>
      <c r="Y27" s="90"/>
      <c r="Z27" s="91" t="s">
        <v>43</v>
      </c>
      <c r="AA27" s="87" t="s">
        <v>47</v>
      </c>
      <c r="AB27" s="87" t="s">
        <v>43</v>
      </c>
      <c r="AC27" s="87" t="s">
        <v>41</v>
      </c>
      <c r="AD27" s="87" t="s">
        <v>41</v>
      </c>
      <c r="AE27" s="87"/>
      <c r="AF27" s="87"/>
      <c r="AG27" s="90"/>
      <c r="AH27" s="91" t="s">
        <v>48</v>
      </c>
      <c r="AI27" s="87" t="s">
        <v>47</v>
      </c>
      <c r="AJ27" s="87" t="s">
        <v>43</v>
      </c>
      <c r="AK27" s="87" t="s">
        <v>48</v>
      </c>
      <c r="AL27" s="87" t="s">
        <v>41</v>
      </c>
      <c r="AM27" s="87"/>
      <c r="AN27" s="87"/>
      <c r="AO27" s="92"/>
      <c r="AP27" s="93" t="n">
        <f aca="false">40-COUNTBLANK(B27:AO27)</f>
        <v>25</v>
      </c>
      <c r="AQ27" s="94" t="n">
        <f aca="false">COUNTIF($C27:$AO27,$AS$3)</f>
        <v>0</v>
      </c>
      <c r="AR27" s="95" t="e">
        <f aca="false">INDEX(#REF!,MATCH(Расписание!AS3,#REF!,0))</f>
        <v>#REF!</v>
      </c>
    </row>
    <row r="28" s="35" customFormat="true" ht="21" hidden="false" customHeight="true" outlineLevel="0" collapsed="false">
      <c r="A28" s="96" t="s">
        <v>63</v>
      </c>
      <c r="B28" s="97"/>
      <c r="C28" s="48" t="s">
        <v>41</v>
      </c>
      <c r="D28" s="45" t="s">
        <v>14</v>
      </c>
      <c r="E28" s="45" t="s">
        <v>48</v>
      </c>
      <c r="F28" s="45"/>
      <c r="G28" s="45" t="s">
        <v>48</v>
      </c>
      <c r="H28" s="45" t="s">
        <v>41</v>
      </c>
      <c r="I28" s="61"/>
      <c r="J28" s="48"/>
      <c r="K28" s="45" t="s">
        <v>45</v>
      </c>
      <c r="L28" s="45" t="s">
        <v>43</v>
      </c>
      <c r="M28" s="45" t="s">
        <v>40</v>
      </c>
      <c r="N28" s="45"/>
      <c r="O28" s="45" t="s">
        <v>40</v>
      </c>
      <c r="P28" s="45"/>
      <c r="Q28" s="61"/>
      <c r="R28" s="48"/>
      <c r="S28" s="45"/>
      <c r="T28" s="45"/>
      <c r="U28" s="45" t="s">
        <v>45</v>
      </c>
      <c r="V28" s="45" t="s">
        <v>43</v>
      </c>
      <c r="W28" s="45" t="s">
        <v>40</v>
      </c>
      <c r="X28" s="45" t="s">
        <v>43</v>
      </c>
      <c r="Y28" s="61"/>
      <c r="Z28" s="28" t="s">
        <v>45</v>
      </c>
      <c r="AA28" s="45" t="s">
        <v>41</v>
      </c>
      <c r="AB28" s="45" t="s">
        <v>41</v>
      </c>
      <c r="AC28" s="45" t="s">
        <v>14</v>
      </c>
      <c r="AD28" s="45" t="s">
        <v>40</v>
      </c>
      <c r="AE28" s="45" t="s">
        <v>14</v>
      </c>
      <c r="AF28" s="45" t="s">
        <v>48</v>
      </c>
      <c r="AG28" s="61"/>
      <c r="AH28" s="48"/>
      <c r="AI28" s="45" t="s">
        <v>45</v>
      </c>
      <c r="AJ28" s="45" t="s">
        <v>48</v>
      </c>
      <c r="AK28" s="45"/>
      <c r="AL28" s="45" t="s">
        <v>40</v>
      </c>
      <c r="AM28" s="45" t="s">
        <v>14</v>
      </c>
      <c r="AN28" s="45" t="s">
        <v>43</v>
      </c>
      <c r="AO28" s="62"/>
      <c r="AP28" s="39" t="n">
        <f aca="false">40-COUNTBLANK(B28:AO28)</f>
        <v>25</v>
      </c>
      <c r="AQ28" s="98" t="n">
        <f aca="false">COUNTIF($C28:$AO28,$AS$3)</f>
        <v>4</v>
      </c>
      <c r="AR28" s="33" t="e">
        <f aca="false">INDEX(#REF!,MATCH(Расписание!AS3,#REF!,0))</f>
        <v>#REF!</v>
      </c>
    </row>
    <row r="29" s="101" customFormat="true" ht="21" hidden="false" customHeight="true" outlineLevel="0" collapsed="false">
      <c r="A29" s="99" t="s">
        <v>64</v>
      </c>
      <c r="B29" s="100"/>
      <c r="C29" s="48" t="s">
        <v>27</v>
      </c>
      <c r="D29" s="45" t="s">
        <v>23</v>
      </c>
      <c r="E29" s="45"/>
      <c r="F29" s="45" t="s">
        <v>29</v>
      </c>
      <c r="G29" s="45" t="s">
        <v>23</v>
      </c>
      <c r="H29" s="45" t="s">
        <v>26</v>
      </c>
      <c r="I29" s="61"/>
      <c r="J29" s="48"/>
      <c r="K29" s="45" t="s">
        <v>26</v>
      </c>
      <c r="L29" s="45" t="s">
        <v>26</v>
      </c>
      <c r="M29" s="45" t="s">
        <v>17</v>
      </c>
      <c r="N29" s="45" t="s">
        <v>22</v>
      </c>
      <c r="O29" s="45"/>
      <c r="P29" s="45"/>
      <c r="Q29" s="61"/>
      <c r="R29" s="48"/>
      <c r="S29" s="45" t="s">
        <v>48</v>
      </c>
      <c r="T29" s="45" t="s">
        <v>47</v>
      </c>
      <c r="U29" s="45" t="s">
        <v>46</v>
      </c>
      <c r="V29" s="45"/>
      <c r="W29" s="45" t="s">
        <v>43</v>
      </c>
      <c r="X29" s="45"/>
      <c r="Y29" s="61"/>
      <c r="Z29" s="28" t="s">
        <v>28</v>
      </c>
      <c r="AA29" s="45" t="s">
        <v>29</v>
      </c>
      <c r="AB29" s="45" t="s">
        <v>27</v>
      </c>
      <c r="AC29" s="45" t="s">
        <v>22</v>
      </c>
      <c r="AD29" s="45" t="s">
        <v>28</v>
      </c>
      <c r="AE29" s="45" t="s">
        <v>17</v>
      </c>
      <c r="AF29" s="45"/>
      <c r="AG29" s="61"/>
      <c r="AH29" s="48" t="s">
        <v>27</v>
      </c>
      <c r="AI29" s="45" t="s">
        <v>28</v>
      </c>
      <c r="AJ29" s="45" t="s">
        <v>29</v>
      </c>
      <c r="AK29" s="45"/>
      <c r="AL29" s="45" t="s">
        <v>17</v>
      </c>
      <c r="AM29" s="45" t="s">
        <v>22</v>
      </c>
      <c r="AN29" s="45"/>
      <c r="AO29" s="62"/>
      <c r="AP29" s="39" t="n">
        <f aca="false">40-COUNTBLANK(B29:AO29)</f>
        <v>24</v>
      </c>
      <c r="AQ29" s="40" t="n">
        <f aca="false">COUNTIF($C29:$AO29,$AS$3)</f>
        <v>0</v>
      </c>
      <c r="AR29" s="41" t="e">
        <f aca="false">INDEX(#REF!,MATCH(Расписание!AS3,#REF!,0))</f>
        <v>#REF!</v>
      </c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  <c r="QI29" s="43"/>
      <c r="QJ29" s="43"/>
      <c r="QK29" s="43"/>
      <c r="QL29" s="43"/>
      <c r="QM29" s="43"/>
      <c r="QN29" s="43"/>
      <c r="QO29" s="43"/>
      <c r="QP29" s="43"/>
      <c r="QQ29" s="43"/>
      <c r="QR29" s="43"/>
      <c r="QS29" s="43"/>
      <c r="QT29" s="43"/>
      <c r="QU29" s="43"/>
      <c r="QV29" s="43"/>
      <c r="QW29" s="43"/>
      <c r="QX29" s="43"/>
      <c r="QY29" s="43"/>
      <c r="QZ29" s="43"/>
      <c r="RA29" s="43"/>
      <c r="RB29" s="43"/>
      <c r="RC29" s="43"/>
      <c r="RD29" s="43"/>
      <c r="RE29" s="43"/>
      <c r="RF29" s="43"/>
      <c r="RG29" s="43"/>
      <c r="RH29" s="43"/>
      <c r="RI29" s="43"/>
      <c r="RJ29" s="43"/>
      <c r="RK29" s="43"/>
      <c r="RL29" s="43"/>
      <c r="RM29" s="43"/>
      <c r="RN29" s="43"/>
      <c r="RO29" s="43"/>
      <c r="RP29" s="43"/>
      <c r="RQ29" s="43"/>
      <c r="RR29" s="43"/>
      <c r="RS29" s="43"/>
      <c r="RT29" s="43"/>
      <c r="RU29" s="43"/>
      <c r="RV29" s="43"/>
      <c r="RW29" s="43"/>
      <c r="RX29" s="43"/>
      <c r="RY29" s="43"/>
      <c r="RZ29" s="43"/>
      <c r="SA29" s="43"/>
      <c r="SB29" s="43"/>
      <c r="SC29" s="43"/>
      <c r="SD29" s="43"/>
      <c r="SE29" s="43"/>
      <c r="SF29" s="43"/>
      <c r="SG29" s="43"/>
      <c r="SH29" s="43"/>
      <c r="SI29" s="43"/>
      <c r="SJ29" s="43"/>
      <c r="SK29" s="43"/>
      <c r="SL29" s="43"/>
      <c r="SM29" s="43"/>
      <c r="SN29" s="43"/>
      <c r="SO29" s="43"/>
      <c r="SP29" s="43"/>
      <c r="SQ29" s="43"/>
      <c r="SR29" s="43"/>
      <c r="SS29" s="43"/>
      <c r="ST29" s="43"/>
      <c r="SU29" s="43"/>
      <c r="SV29" s="43"/>
      <c r="SW29" s="43"/>
      <c r="SX29" s="43"/>
      <c r="SY29" s="43"/>
      <c r="SZ29" s="43"/>
      <c r="TA29" s="43"/>
      <c r="TB29" s="43"/>
      <c r="TC29" s="43"/>
      <c r="TD29" s="43"/>
      <c r="TE29" s="43"/>
      <c r="TF29" s="43"/>
      <c r="TG29" s="43"/>
      <c r="TH29" s="43"/>
      <c r="TI29" s="43"/>
      <c r="TJ29" s="43"/>
      <c r="TK29" s="43"/>
      <c r="TL29" s="43"/>
      <c r="TM29" s="43"/>
      <c r="TN29" s="43"/>
      <c r="TO29" s="43"/>
      <c r="TP29" s="43"/>
      <c r="TQ29" s="43"/>
      <c r="TR29" s="43"/>
      <c r="TS29" s="43"/>
      <c r="TT29" s="43"/>
      <c r="TU29" s="43"/>
      <c r="TV29" s="43"/>
      <c r="TW29" s="43"/>
      <c r="TX29" s="43"/>
      <c r="TY29" s="43"/>
      <c r="TZ29" s="43"/>
      <c r="UA29" s="43"/>
      <c r="UB29" s="43"/>
      <c r="UC29" s="43"/>
      <c r="UD29" s="43"/>
      <c r="UE29" s="43"/>
      <c r="UF29" s="43"/>
      <c r="UG29" s="43"/>
      <c r="UH29" s="43"/>
      <c r="UI29" s="43"/>
      <c r="UJ29" s="43"/>
      <c r="UK29" s="43"/>
      <c r="UL29" s="43"/>
      <c r="UM29" s="43"/>
      <c r="UN29" s="43"/>
      <c r="UO29" s="43"/>
      <c r="UP29" s="43"/>
      <c r="UQ29" s="43"/>
      <c r="UR29" s="43"/>
      <c r="US29" s="43"/>
      <c r="UT29" s="43"/>
      <c r="UU29" s="43"/>
      <c r="UV29" s="43"/>
      <c r="UW29" s="43"/>
      <c r="UX29" s="43"/>
      <c r="UY29" s="43"/>
      <c r="UZ29" s="43"/>
      <c r="VA29" s="43"/>
      <c r="VB29" s="43"/>
      <c r="VC29" s="43"/>
      <c r="VD29" s="43"/>
      <c r="VE29" s="43"/>
      <c r="VF29" s="43"/>
      <c r="VG29" s="43"/>
      <c r="VH29" s="43"/>
      <c r="VI29" s="43"/>
      <c r="VJ29" s="43"/>
      <c r="VK29" s="43"/>
      <c r="VL29" s="43"/>
      <c r="VM29" s="43"/>
      <c r="VN29" s="43"/>
      <c r="VO29" s="43"/>
      <c r="VP29" s="43"/>
      <c r="VQ29" s="43"/>
      <c r="VR29" s="43"/>
      <c r="VS29" s="43"/>
      <c r="VT29" s="43"/>
      <c r="VU29" s="43"/>
      <c r="VV29" s="43"/>
      <c r="VW29" s="43"/>
      <c r="VX29" s="43"/>
      <c r="VY29" s="43"/>
      <c r="VZ29" s="43"/>
      <c r="WA29" s="43"/>
      <c r="WB29" s="43"/>
      <c r="WC29" s="43"/>
      <c r="WD29" s="43"/>
      <c r="WE29" s="43"/>
      <c r="WF29" s="43"/>
      <c r="WG29" s="43"/>
      <c r="WH29" s="43"/>
      <c r="WI29" s="43"/>
      <c r="WJ29" s="43"/>
      <c r="WK29" s="43"/>
      <c r="WL29" s="43"/>
      <c r="WM29" s="43"/>
      <c r="WN29" s="43"/>
      <c r="WO29" s="43"/>
      <c r="WP29" s="43"/>
      <c r="WQ29" s="43"/>
      <c r="WR29" s="43"/>
      <c r="WS29" s="43"/>
      <c r="WT29" s="43"/>
      <c r="WU29" s="43"/>
      <c r="WV29" s="43"/>
      <c r="WW29" s="43"/>
      <c r="WX29" s="43"/>
      <c r="WY29" s="43"/>
      <c r="WZ29" s="43"/>
      <c r="XA29" s="43"/>
      <c r="XB29" s="43"/>
      <c r="XC29" s="43"/>
      <c r="XD29" s="43"/>
      <c r="XE29" s="43"/>
      <c r="XF29" s="43"/>
      <c r="XG29" s="43"/>
      <c r="XH29" s="43"/>
      <c r="XI29" s="43"/>
    </row>
    <row r="30" s="43" customFormat="true" ht="21" hidden="false" customHeight="true" outlineLevel="0" collapsed="false">
      <c r="A30" s="99" t="s">
        <v>65</v>
      </c>
      <c r="B30" s="100"/>
      <c r="C30" s="48"/>
      <c r="D30" s="45" t="s">
        <v>45</v>
      </c>
      <c r="E30" s="45" t="s">
        <v>14</v>
      </c>
      <c r="F30" s="45"/>
      <c r="G30" s="45" t="s">
        <v>42</v>
      </c>
      <c r="H30" s="45"/>
      <c r="I30" s="61"/>
      <c r="J30" s="75"/>
      <c r="K30" s="76"/>
      <c r="L30" s="76"/>
      <c r="M30" s="76"/>
      <c r="N30" s="76"/>
      <c r="O30" s="76"/>
      <c r="P30" s="76"/>
      <c r="Q30" s="77"/>
      <c r="R30" s="75"/>
      <c r="S30" s="76"/>
      <c r="T30" s="76"/>
      <c r="U30" s="76"/>
      <c r="V30" s="76"/>
      <c r="W30" s="76"/>
      <c r="X30" s="76"/>
      <c r="Y30" s="77"/>
      <c r="Z30" s="44"/>
      <c r="AA30" s="55"/>
      <c r="AB30" s="55" t="s">
        <v>42</v>
      </c>
      <c r="AC30" s="55"/>
      <c r="AD30" s="55" t="s">
        <v>14</v>
      </c>
      <c r="AE30" s="55" t="s">
        <v>45</v>
      </c>
      <c r="AF30" s="55"/>
      <c r="AG30" s="46"/>
      <c r="AH30" s="75"/>
      <c r="AI30" s="76"/>
      <c r="AJ30" s="76"/>
      <c r="AK30" s="76"/>
      <c r="AL30" s="76"/>
      <c r="AM30" s="76"/>
      <c r="AN30" s="76"/>
      <c r="AO30" s="102"/>
      <c r="AP30" s="39" t="n">
        <f aca="false">40-COUNTBLANK(B30:AO30)</f>
        <v>6</v>
      </c>
      <c r="AQ30" s="40" t="n">
        <f aca="false">COUNTIF($C30:$AO30,$AS$3)</f>
        <v>2</v>
      </c>
      <c r="AR30" s="41" t="e">
        <f aca="false">INDEX(#REF!,MATCH(Расписание!AS3,#REF!,0))</f>
        <v>#REF!</v>
      </c>
    </row>
    <row r="31" s="43" customFormat="true" ht="21" hidden="false" customHeight="true" outlineLevel="0" collapsed="false">
      <c r="A31" s="99" t="s">
        <v>66</v>
      </c>
      <c r="B31" s="100"/>
      <c r="C31" s="71" t="s">
        <v>28</v>
      </c>
      <c r="D31" s="72" t="s">
        <v>28</v>
      </c>
      <c r="E31" s="45" t="s">
        <v>26</v>
      </c>
      <c r="F31" s="45"/>
      <c r="G31" s="45" t="s">
        <v>44</v>
      </c>
      <c r="H31" s="45" t="s">
        <v>40</v>
      </c>
      <c r="I31" s="61"/>
      <c r="J31" s="48" t="s">
        <v>28</v>
      </c>
      <c r="K31" s="45"/>
      <c r="L31" s="45" t="s">
        <v>44</v>
      </c>
      <c r="M31" s="45" t="s">
        <v>44</v>
      </c>
      <c r="N31" s="45" t="s">
        <v>40</v>
      </c>
      <c r="O31" s="45" t="s">
        <v>44</v>
      </c>
      <c r="P31" s="45"/>
      <c r="Q31" s="61"/>
      <c r="R31" s="48" t="s">
        <v>44</v>
      </c>
      <c r="S31" s="45" t="s">
        <v>40</v>
      </c>
      <c r="T31" s="45" t="s">
        <v>44</v>
      </c>
      <c r="U31" s="45" t="s">
        <v>40</v>
      </c>
      <c r="V31" s="45"/>
      <c r="W31" s="72" t="s">
        <v>28</v>
      </c>
      <c r="X31" s="72" t="s">
        <v>26</v>
      </c>
      <c r="Y31" s="61"/>
      <c r="Z31" s="28" t="s">
        <v>44</v>
      </c>
      <c r="AA31" s="45" t="s">
        <v>40</v>
      </c>
      <c r="AB31" s="45" t="s">
        <v>44</v>
      </c>
      <c r="AC31" s="45" t="s">
        <v>40</v>
      </c>
      <c r="AD31" s="45" t="s">
        <v>44</v>
      </c>
      <c r="AE31" s="45" t="s">
        <v>40</v>
      </c>
      <c r="AF31" s="45"/>
      <c r="AG31" s="61"/>
      <c r="AH31" s="48" t="s">
        <v>40</v>
      </c>
      <c r="AI31" s="45" t="s">
        <v>40</v>
      </c>
      <c r="AJ31" s="45"/>
      <c r="AK31" s="45" t="s">
        <v>26</v>
      </c>
      <c r="AL31" s="45"/>
      <c r="AM31" s="45" t="s">
        <v>28</v>
      </c>
      <c r="AN31" s="45" t="s">
        <v>28</v>
      </c>
      <c r="AO31" s="62"/>
      <c r="AP31" s="39" t="n">
        <f aca="false">40-COUNTBLANK(B31:AO31)</f>
        <v>27</v>
      </c>
      <c r="AQ31" s="40" t="n">
        <f aca="false">COUNTIF($C31:$AO31,$AS$3)</f>
        <v>0</v>
      </c>
      <c r="AR31" s="41" t="e">
        <f aca="false">INDEX(#REF!,MATCH(Расписание!AS3,#REF!,0))</f>
        <v>#REF!</v>
      </c>
    </row>
    <row r="32" s="101" customFormat="true" ht="21" hidden="false" customHeight="true" outlineLevel="0" collapsed="false">
      <c r="A32" s="99" t="s">
        <v>67</v>
      </c>
      <c r="B32" s="100"/>
      <c r="C32" s="48" t="s">
        <v>47</v>
      </c>
      <c r="D32" s="45" t="s">
        <v>48</v>
      </c>
      <c r="E32" s="45" t="s">
        <v>45</v>
      </c>
      <c r="F32" s="45" t="s">
        <v>40</v>
      </c>
      <c r="G32" s="45" t="s">
        <v>14</v>
      </c>
      <c r="H32" s="45" t="s">
        <v>43</v>
      </c>
      <c r="I32" s="61"/>
      <c r="J32" s="48" t="s">
        <v>46</v>
      </c>
      <c r="K32" s="45" t="s">
        <v>42</v>
      </c>
      <c r="L32" s="45" t="s">
        <v>14</v>
      </c>
      <c r="M32" s="45" t="s">
        <v>45</v>
      </c>
      <c r="N32" s="45" t="s">
        <v>41</v>
      </c>
      <c r="O32" s="45" t="s">
        <v>49</v>
      </c>
      <c r="P32" s="45" t="s">
        <v>48</v>
      </c>
      <c r="Q32" s="61"/>
      <c r="R32" s="48" t="s">
        <v>46</v>
      </c>
      <c r="S32" s="45" t="s">
        <v>44</v>
      </c>
      <c r="T32" s="45"/>
      <c r="U32" s="45" t="s">
        <v>43</v>
      </c>
      <c r="V32" s="45" t="s">
        <v>42</v>
      </c>
      <c r="W32" s="45" t="s">
        <v>47</v>
      </c>
      <c r="X32" s="45"/>
      <c r="Y32" s="61"/>
      <c r="Z32" s="53"/>
      <c r="AA32" s="72" t="s">
        <v>26</v>
      </c>
      <c r="AB32" s="72" t="s">
        <v>28</v>
      </c>
      <c r="AC32" s="72" t="s">
        <v>29</v>
      </c>
      <c r="AD32" s="72"/>
      <c r="AE32" s="72" t="s">
        <v>27</v>
      </c>
      <c r="AF32" s="54"/>
      <c r="AG32" s="73"/>
      <c r="AH32" s="71" t="s">
        <v>28</v>
      </c>
      <c r="AI32" s="72" t="s">
        <v>26</v>
      </c>
      <c r="AJ32" s="72" t="s">
        <v>27</v>
      </c>
      <c r="AK32" s="72" t="s">
        <v>29</v>
      </c>
      <c r="AL32" s="72"/>
      <c r="AM32" s="72"/>
      <c r="AN32" s="72"/>
      <c r="AO32" s="74"/>
      <c r="AP32" s="39" t="n">
        <f aca="false">40-COUNTBLANK(B32:AO32)</f>
        <v>26</v>
      </c>
      <c r="AQ32" s="40" t="n">
        <f aca="false">COUNTIF($C32:$AO32,$AS$3)</f>
        <v>2</v>
      </c>
      <c r="AR32" s="41" t="e">
        <f aca="false">INDEX(#REF!,MATCH(Расписание!AS3,#REF!,0))</f>
        <v>#REF!</v>
      </c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  <c r="QI32" s="43"/>
      <c r="QJ32" s="43"/>
      <c r="QK32" s="43"/>
      <c r="QL32" s="43"/>
      <c r="QM32" s="43"/>
      <c r="QN32" s="43"/>
      <c r="QO32" s="43"/>
      <c r="QP32" s="43"/>
      <c r="QQ32" s="43"/>
      <c r="QR32" s="43"/>
      <c r="QS32" s="43"/>
      <c r="QT32" s="43"/>
      <c r="QU32" s="43"/>
      <c r="QV32" s="43"/>
      <c r="QW32" s="43"/>
      <c r="QX32" s="43"/>
      <c r="QY32" s="43"/>
      <c r="QZ32" s="43"/>
      <c r="RA32" s="43"/>
      <c r="RB32" s="43"/>
      <c r="RC32" s="43"/>
      <c r="RD32" s="43"/>
      <c r="RE32" s="43"/>
      <c r="RF32" s="43"/>
      <c r="RG32" s="43"/>
      <c r="RH32" s="43"/>
      <c r="RI32" s="43"/>
      <c r="RJ32" s="43"/>
      <c r="RK32" s="43"/>
      <c r="RL32" s="43"/>
      <c r="RM32" s="43"/>
      <c r="RN32" s="43"/>
      <c r="RO32" s="43"/>
      <c r="RP32" s="43"/>
      <c r="RQ32" s="43"/>
      <c r="RR32" s="43"/>
      <c r="RS32" s="43"/>
      <c r="RT32" s="43"/>
      <c r="RU32" s="43"/>
      <c r="RV32" s="43"/>
      <c r="RW32" s="43"/>
      <c r="RX32" s="43"/>
      <c r="RY32" s="43"/>
      <c r="RZ32" s="43"/>
      <c r="SA32" s="43"/>
      <c r="SB32" s="43"/>
      <c r="SC32" s="43"/>
      <c r="SD32" s="43"/>
      <c r="SE32" s="43"/>
      <c r="SF32" s="43"/>
      <c r="SG32" s="43"/>
      <c r="SH32" s="43"/>
      <c r="SI32" s="43"/>
      <c r="SJ32" s="43"/>
      <c r="SK32" s="43"/>
      <c r="SL32" s="43"/>
      <c r="SM32" s="43"/>
      <c r="SN32" s="43"/>
      <c r="SO32" s="43"/>
      <c r="SP32" s="43"/>
      <c r="SQ32" s="43"/>
      <c r="SR32" s="43"/>
      <c r="SS32" s="43"/>
      <c r="ST32" s="43"/>
      <c r="SU32" s="43"/>
      <c r="SV32" s="43"/>
      <c r="SW32" s="43"/>
      <c r="SX32" s="43"/>
      <c r="SY32" s="43"/>
      <c r="SZ32" s="43"/>
      <c r="TA32" s="43"/>
      <c r="TB32" s="43"/>
      <c r="TC32" s="43"/>
      <c r="TD32" s="43"/>
      <c r="TE32" s="43"/>
      <c r="TF32" s="43"/>
      <c r="TG32" s="43"/>
      <c r="TH32" s="43"/>
      <c r="TI32" s="43"/>
      <c r="TJ32" s="43"/>
      <c r="TK32" s="43"/>
      <c r="TL32" s="43"/>
      <c r="TM32" s="43"/>
      <c r="TN32" s="43"/>
      <c r="TO32" s="43"/>
      <c r="TP32" s="43"/>
      <c r="TQ32" s="43"/>
      <c r="TR32" s="43"/>
      <c r="TS32" s="43"/>
      <c r="TT32" s="43"/>
      <c r="TU32" s="43"/>
      <c r="TV32" s="43"/>
      <c r="TW32" s="43"/>
      <c r="TX32" s="43"/>
      <c r="TY32" s="43"/>
      <c r="TZ32" s="43"/>
      <c r="UA32" s="43"/>
      <c r="UB32" s="43"/>
      <c r="UC32" s="43"/>
      <c r="UD32" s="43"/>
      <c r="UE32" s="43"/>
      <c r="UF32" s="43"/>
      <c r="UG32" s="43"/>
      <c r="UH32" s="43"/>
      <c r="UI32" s="43"/>
      <c r="UJ32" s="43"/>
      <c r="UK32" s="43"/>
      <c r="UL32" s="43"/>
      <c r="UM32" s="43"/>
      <c r="UN32" s="43"/>
      <c r="UO32" s="43"/>
      <c r="UP32" s="43"/>
      <c r="UQ32" s="43"/>
      <c r="UR32" s="43"/>
      <c r="US32" s="43"/>
      <c r="UT32" s="43"/>
      <c r="UU32" s="43"/>
      <c r="UV32" s="43"/>
      <c r="UW32" s="43"/>
      <c r="UX32" s="43"/>
      <c r="UY32" s="43"/>
      <c r="UZ32" s="43"/>
      <c r="VA32" s="43"/>
      <c r="VB32" s="43"/>
      <c r="VC32" s="43"/>
      <c r="VD32" s="43"/>
      <c r="VE32" s="43"/>
      <c r="VF32" s="43"/>
      <c r="VG32" s="43"/>
      <c r="VH32" s="43"/>
      <c r="VI32" s="43"/>
      <c r="VJ32" s="43"/>
      <c r="VK32" s="43"/>
      <c r="VL32" s="43"/>
      <c r="VM32" s="43"/>
      <c r="VN32" s="43"/>
      <c r="VO32" s="43"/>
      <c r="VP32" s="43"/>
      <c r="VQ32" s="43"/>
      <c r="VR32" s="43"/>
      <c r="VS32" s="43"/>
      <c r="VT32" s="43"/>
      <c r="VU32" s="43"/>
      <c r="VV32" s="43"/>
      <c r="VW32" s="43"/>
      <c r="VX32" s="43"/>
      <c r="VY32" s="43"/>
      <c r="VZ32" s="43"/>
      <c r="WA32" s="43"/>
      <c r="WB32" s="43"/>
      <c r="WC32" s="43"/>
      <c r="WD32" s="43"/>
      <c r="WE32" s="43"/>
      <c r="WF32" s="43"/>
      <c r="WG32" s="43"/>
      <c r="WH32" s="43"/>
      <c r="WI32" s="43"/>
      <c r="WJ32" s="43"/>
      <c r="WK32" s="43"/>
      <c r="WL32" s="43"/>
      <c r="WM32" s="43"/>
      <c r="WN32" s="43"/>
      <c r="WO32" s="43"/>
      <c r="WP32" s="43"/>
      <c r="WQ32" s="43"/>
      <c r="WR32" s="43"/>
      <c r="WS32" s="43"/>
      <c r="WT32" s="43"/>
      <c r="WU32" s="43"/>
      <c r="WV32" s="43"/>
      <c r="WW32" s="43"/>
      <c r="WX32" s="43"/>
      <c r="WY32" s="43"/>
      <c r="WZ32" s="43"/>
      <c r="XA32" s="43"/>
      <c r="XB32" s="43"/>
      <c r="XC32" s="43"/>
      <c r="XD32" s="43"/>
      <c r="XE32" s="43"/>
      <c r="XF32" s="43"/>
      <c r="XG32" s="43"/>
      <c r="XH32" s="43"/>
      <c r="XI32" s="43"/>
    </row>
    <row r="33" s="43" customFormat="true" ht="21" hidden="false" customHeight="true" outlineLevel="0" collapsed="false">
      <c r="A33" s="99" t="s">
        <v>68</v>
      </c>
      <c r="B33" s="100"/>
      <c r="C33" s="48" t="s">
        <v>45</v>
      </c>
      <c r="D33" s="45"/>
      <c r="E33" s="45" t="s">
        <v>42</v>
      </c>
      <c r="F33" s="45" t="s">
        <v>14</v>
      </c>
      <c r="G33" s="45"/>
      <c r="H33" s="87" t="s">
        <v>47</v>
      </c>
      <c r="I33" s="61"/>
      <c r="J33" s="48" t="s">
        <v>47</v>
      </c>
      <c r="K33" s="45" t="s">
        <v>49</v>
      </c>
      <c r="L33" s="45" t="s">
        <v>42</v>
      </c>
      <c r="M33" s="45" t="s">
        <v>49</v>
      </c>
      <c r="N33" s="45" t="s">
        <v>42</v>
      </c>
      <c r="O33" s="45" t="s">
        <v>14</v>
      </c>
      <c r="P33" s="45" t="s">
        <v>45</v>
      </c>
      <c r="Q33" s="61"/>
      <c r="R33" s="48" t="s">
        <v>49</v>
      </c>
      <c r="S33" s="45" t="s">
        <v>14</v>
      </c>
      <c r="T33" s="45" t="s">
        <v>42</v>
      </c>
      <c r="U33" s="45" t="s">
        <v>42</v>
      </c>
      <c r="V33" s="45" t="s">
        <v>49</v>
      </c>
      <c r="W33" s="45" t="s">
        <v>14</v>
      </c>
      <c r="X33" s="45" t="s">
        <v>45</v>
      </c>
      <c r="Y33" s="61"/>
      <c r="Z33" s="28" t="s">
        <v>49</v>
      </c>
      <c r="AA33" s="45" t="s">
        <v>42</v>
      </c>
      <c r="AB33" s="45" t="s">
        <v>49</v>
      </c>
      <c r="AC33" s="45"/>
      <c r="AD33" s="45" t="s">
        <v>45</v>
      </c>
      <c r="AE33" s="45" t="s">
        <v>49</v>
      </c>
      <c r="AF33" s="45" t="s">
        <v>46</v>
      </c>
      <c r="AG33" s="61"/>
      <c r="AH33" s="48" t="s">
        <v>14</v>
      </c>
      <c r="AI33" s="45" t="s">
        <v>49</v>
      </c>
      <c r="AJ33" s="45" t="s">
        <v>45</v>
      </c>
      <c r="AK33" s="45" t="s">
        <v>45</v>
      </c>
      <c r="AL33" s="45" t="s">
        <v>49</v>
      </c>
      <c r="AM33" s="45" t="s">
        <v>46</v>
      </c>
      <c r="AN33" s="45" t="s">
        <v>14</v>
      </c>
      <c r="AO33" s="62"/>
      <c r="AP33" s="39" t="n">
        <f aca="false">40-COUNTBLANK(B33:AO33)</f>
        <v>31</v>
      </c>
      <c r="AQ33" s="40" t="n">
        <f aca="false">COUNTIF($C33:$AO33,$AS$3)</f>
        <v>6</v>
      </c>
      <c r="AR33" s="41" t="e">
        <f aca="false">INDEX(#REF!,MATCH(Расписание!AS3,#REF!,0))</f>
        <v>#REF!</v>
      </c>
    </row>
    <row r="34" s="35" customFormat="true" ht="21" hidden="false" customHeight="true" outlineLevel="0" collapsed="false">
      <c r="A34" s="96" t="s">
        <v>69</v>
      </c>
      <c r="B34" s="97"/>
      <c r="C34" s="48" t="s">
        <v>46</v>
      </c>
      <c r="D34" s="45" t="s">
        <v>14</v>
      </c>
      <c r="E34" s="45" t="s">
        <v>48</v>
      </c>
      <c r="F34" s="45"/>
      <c r="G34" s="45" t="s">
        <v>48</v>
      </c>
      <c r="H34" s="45" t="s">
        <v>46</v>
      </c>
      <c r="I34" s="61"/>
      <c r="J34" s="71" t="s">
        <v>26</v>
      </c>
      <c r="K34" s="72" t="s">
        <v>28</v>
      </c>
      <c r="L34" s="72" t="s">
        <v>29</v>
      </c>
      <c r="M34" s="72" t="s">
        <v>27</v>
      </c>
      <c r="N34" s="72"/>
      <c r="O34" s="72" t="s">
        <v>28</v>
      </c>
      <c r="P34" s="72" t="s">
        <v>29</v>
      </c>
      <c r="Q34" s="73"/>
      <c r="R34" s="71" t="s">
        <v>26</v>
      </c>
      <c r="S34" s="72" t="s">
        <v>26</v>
      </c>
      <c r="T34" s="72" t="s">
        <v>28</v>
      </c>
      <c r="U34" s="72"/>
      <c r="V34" s="72" t="s">
        <v>27</v>
      </c>
      <c r="W34" s="72" t="s">
        <v>29</v>
      </c>
      <c r="X34" s="72" t="s">
        <v>27</v>
      </c>
      <c r="Y34" s="73"/>
      <c r="Z34" s="28" t="s">
        <v>46</v>
      </c>
      <c r="AA34" s="45"/>
      <c r="AB34" s="45" t="s">
        <v>46</v>
      </c>
      <c r="AC34" s="45" t="s">
        <v>14</v>
      </c>
      <c r="AD34" s="45"/>
      <c r="AE34" s="45" t="s">
        <v>14</v>
      </c>
      <c r="AF34" s="45" t="s">
        <v>48</v>
      </c>
      <c r="AG34" s="61"/>
      <c r="AH34" s="48"/>
      <c r="AI34" s="45"/>
      <c r="AJ34" s="45" t="s">
        <v>48</v>
      </c>
      <c r="AK34" s="45"/>
      <c r="AL34" s="45"/>
      <c r="AM34" s="45" t="s">
        <v>14</v>
      </c>
      <c r="AN34" s="45"/>
      <c r="AO34" s="62"/>
      <c r="AP34" s="39" t="n">
        <f aca="false">40-COUNTBLANK(B34:AO34)</f>
        <v>24</v>
      </c>
      <c r="AQ34" s="98" t="n">
        <f aca="false">COUNTIF($C34:$AO34,$AS$3)</f>
        <v>4</v>
      </c>
      <c r="AR34" s="103" t="e">
        <f aca="false">INDEX(#REF!,MATCH(Расписание!AS3,#REF!,0))</f>
        <v>#REF!</v>
      </c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</row>
    <row r="35" s="101" customFormat="true" ht="21" hidden="false" customHeight="true" outlineLevel="0" collapsed="false">
      <c r="A35" s="99" t="s">
        <v>70</v>
      </c>
      <c r="B35" s="100"/>
      <c r="C35" s="105" t="s">
        <v>43</v>
      </c>
      <c r="D35" s="68" t="s">
        <v>43</v>
      </c>
      <c r="E35" s="68" t="s">
        <v>43</v>
      </c>
      <c r="F35" s="68" t="s">
        <v>48</v>
      </c>
      <c r="G35" s="68" t="s">
        <v>46</v>
      </c>
      <c r="H35" s="68" t="s">
        <v>48</v>
      </c>
      <c r="I35" s="69"/>
      <c r="J35" s="48" t="s">
        <v>43</v>
      </c>
      <c r="K35" s="45" t="s">
        <v>14</v>
      </c>
      <c r="L35" s="68"/>
      <c r="M35" s="68" t="s">
        <v>48</v>
      </c>
      <c r="N35" s="68" t="s">
        <v>14</v>
      </c>
      <c r="O35" s="68" t="s">
        <v>48</v>
      </c>
      <c r="P35" s="68" t="s">
        <v>46</v>
      </c>
      <c r="Q35" s="69"/>
      <c r="R35" s="105" t="s">
        <v>14</v>
      </c>
      <c r="S35" s="68" t="s">
        <v>43</v>
      </c>
      <c r="T35" s="68" t="s">
        <v>48</v>
      </c>
      <c r="U35" s="68" t="s">
        <v>14</v>
      </c>
      <c r="V35" s="68" t="s">
        <v>14</v>
      </c>
      <c r="W35" s="68" t="s">
        <v>46</v>
      </c>
      <c r="X35" s="68" t="s">
        <v>48</v>
      </c>
      <c r="Y35" s="69"/>
      <c r="Z35" s="48"/>
      <c r="AA35" s="45" t="s">
        <v>48</v>
      </c>
      <c r="AB35" s="45"/>
      <c r="AC35" s="45" t="s">
        <v>46</v>
      </c>
      <c r="AD35" s="45"/>
      <c r="AE35" s="45"/>
      <c r="AF35" s="45"/>
      <c r="AG35" s="61"/>
      <c r="AH35" s="48" t="s">
        <v>46</v>
      </c>
      <c r="AI35" s="45" t="s">
        <v>43</v>
      </c>
      <c r="AJ35" s="45" t="s">
        <v>14</v>
      </c>
      <c r="AK35" s="45" t="s">
        <v>14</v>
      </c>
      <c r="AL35" s="45" t="s">
        <v>46</v>
      </c>
      <c r="AM35" s="45" t="s">
        <v>43</v>
      </c>
      <c r="AN35" s="45" t="s">
        <v>46</v>
      </c>
      <c r="AO35" s="62"/>
      <c r="AP35" s="39" t="n">
        <f aca="false">40-COUNTBLANK(B35:AO35)</f>
        <v>28</v>
      </c>
      <c r="AQ35" s="40" t="n">
        <f aca="false">COUNTIF($C35:$AO35,$AS$3)</f>
        <v>7</v>
      </c>
      <c r="AR35" s="41" t="e">
        <f aca="false">INDEX(#REF!,MATCH(Расписание!AS3,#REF!,0))</f>
        <v>#REF!</v>
      </c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  <c r="QI35" s="43"/>
      <c r="QJ35" s="43"/>
      <c r="QK35" s="43"/>
      <c r="QL35" s="43"/>
      <c r="QM35" s="43"/>
      <c r="QN35" s="43"/>
      <c r="QO35" s="43"/>
      <c r="QP35" s="43"/>
      <c r="QQ35" s="43"/>
      <c r="QR35" s="43"/>
      <c r="QS35" s="43"/>
      <c r="QT35" s="43"/>
      <c r="QU35" s="43"/>
      <c r="QV35" s="43"/>
      <c r="QW35" s="43"/>
      <c r="QX35" s="43"/>
      <c r="QY35" s="43"/>
      <c r="QZ35" s="43"/>
      <c r="RA35" s="43"/>
      <c r="RB35" s="43"/>
      <c r="RC35" s="43"/>
      <c r="RD35" s="43"/>
      <c r="RE35" s="43"/>
      <c r="RF35" s="43"/>
      <c r="RG35" s="43"/>
      <c r="RH35" s="43"/>
      <c r="RI35" s="43"/>
      <c r="RJ35" s="43"/>
      <c r="RK35" s="43"/>
      <c r="RL35" s="43"/>
      <c r="RM35" s="43"/>
      <c r="RN35" s="43"/>
      <c r="RO35" s="43"/>
      <c r="RP35" s="43"/>
      <c r="RQ35" s="43"/>
      <c r="RR35" s="43"/>
      <c r="RS35" s="43"/>
      <c r="RT35" s="43"/>
      <c r="RU35" s="43"/>
      <c r="RV35" s="43"/>
      <c r="RW35" s="43"/>
      <c r="RX35" s="43"/>
      <c r="RY35" s="43"/>
      <c r="RZ35" s="43"/>
      <c r="SA35" s="43"/>
      <c r="SB35" s="43"/>
      <c r="SC35" s="43"/>
      <c r="SD35" s="43"/>
      <c r="SE35" s="43"/>
      <c r="SF35" s="43"/>
      <c r="SG35" s="43"/>
      <c r="SH35" s="43"/>
      <c r="SI35" s="43"/>
      <c r="SJ35" s="43"/>
      <c r="SK35" s="43"/>
      <c r="SL35" s="43"/>
      <c r="SM35" s="43"/>
      <c r="SN35" s="43"/>
      <c r="SO35" s="43"/>
      <c r="SP35" s="43"/>
      <c r="SQ35" s="43"/>
      <c r="SR35" s="43"/>
      <c r="SS35" s="43"/>
      <c r="ST35" s="43"/>
      <c r="SU35" s="43"/>
      <c r="SV35" s="43"/>
      <c r="SW35" s="43"/>
      <c r="SX35" s="43"/>
      <c r="SY35" s="43"/>
      <c r="SZ35" s="43"/>
      <c r="TA35" s="43"/>
      <c r="TB35" s="43"/>
      <c r="TC35" s="43"/>
      <c r="TD35" s="43"/>
      <c r="TE35" s="43"/>
      <c r="TF35" s="43"/>
      <c r="TG35" s="43"/>
      <c r="TH35" s="43"/>
      <c r="TI35" s="43"/>
      <c r="TJ35" s="43"/>
      <c r="TK35" s="43"/>
      <c r="TL35" s="43"/>
      <c r="TM35" s="43"/>
      <c r="TN35" s="43"/>
      <c r="TO35" s="43"/>
      <c r="TP35" s="43"/>
      <c r="TQ35" s="43"/>
      <c r="TR35" s="43"/>
      <c r="TS35" s="43"/>
      <c r="TT35" s="43"/>
      <c r="TU35" s="43"/>
      <c r="TV35" s="43"/>
      <c r="TW35" s="43"/>
      <c r="TX35" s="43"/>
      <c r="TY35" s="43"/>
      <c r="TZ35" s="43"/>
      <c r="UA35" s="43"/>
      <c r="UB35" s="43"/>
      <c r="UC35" s="43"/>
      <c r="UD35" s="43"/>
      <c r="UE35" s="43"/>
      <c r="UF35" s="43"/>
      <c r="UG35" s="43"/>
      <c r="UH35" s="43"/>
      <c r="UI35" s="43"/>
      <c r="UJ35" s="43"/>
      <c r="UK35" s="43"/>
      <c r="UL35" s="43"/>
      <c r="UM35" s="43"/>
      <c r="UN35" s="43"/>
      <c r="UO35" s="43"/>
      <c r="UP35" s="43"/>
      <c r="UQ35" s="43"/>
      <c r="UR35" s="43"/>
      <c r="US35" s="43"/>
      <c r="UT35" s="43"/>
      <c r="UU35" s="43"/>
      <c r="UV35" s="43"/>
      <c r="UW35" s="43"/>
      <c r="UX35" s="43"/>
      <c r="UY35" s="43"/>
      <c r="UZ35" s="43"/>
      <c r="VA35" s="43"/>
      <c r="VB35" s="43"/>
      <c r="VC35" s="43"/>
      <c r="VD35" s="43"/>
      <c r="VE35" s="43"/>
      <c r="VF35" s="43"/>
      <c r="VG35" s="43"/>
      <c r="VH35" s="43"/>
      <c r="VI35" s="43"/>
      <c r="VJ35" s="43"/>
      <c r="VK35" s="43"/>
      <c r="VL35" s="43"/>
      <c r="VM35" s="43"/>
      <c r="VN35" s="43"/>
      <c r="VO35" s="43"/>
      <c r="VP35" s="43"/>
      <c r="VQ35" s="43"/>
      <c r="VR35" s="43"/>
      <c r="VS35" s="43"/>
      <c r="VT35" s="43"/>
      <c r="VU35" s="43"/>
      <c r="VV35" s="43"/>
      <c r="VW35" s="43"/>
      <c r="VX35" s="43"/>
      <c r="VY35" s="43"/>
      <c r="VZ35" s="43"/>
      <c r="WA35" s="43"/>
      <c r="WB35" s="43"/>
      <c r="WC35" s="43"/>
      <c r="WD35" s="43"/>
      <c r="WE35" s="43"/>
      <c r="WF35" s="43"/>
      <c r="WG35" s="43"/>
      <c r="WH35" s="43"/>
      <c r="WI35" s="43"/>
      <c r="WJ35" s="43"/>
      <c r="WK35" s="43"/>
      <c r="WL35" s="43"/>
      <c r="WM35" s="43"/>
      <c r="WN35" s="43"/>
      <c r="WO35" s="43"/>
      <c r="WP35" s="43"/>
      <c r="WQ35" s="43"/>
      <c r="WR35" s="43"/>
      <c r="WS35" s="43"/>
      <c r="WT35" s="43"/>
      <c r="WU35" s="43"/>
      <c r="WV35" s="43"/>
      <c r="WW35" s="43"/>
      <c r="WX35" s="43"/>
      <c r="WY35" s="43"/>
      <c r="WZ35" s="43"/>
      <c r="XA35" s="43"/>
      <c r="XB35" s="43"/>
      <c r="XC35" s="43"/>
      <c r="XD35" s="43"/>
      <c r="XE35" s="43"/>
      <c r="XF35" s="43"/>
      <c r="XG35" s="43"/>
      <c r="XH35" s="43"/>
      <c r="XI35" s="43"/>
    </row>
    <row r="36" s="35" customFormat="true" ht="21" hidden="false" customHeight="true" outlineLevel="0" collapsed="false">
      <c r="A36" s="96" t="s">
        <v>71</v>
      </c>
      <c r="B36" s="97"/>
      <c r="C36" s="48" t="s">
        <v>46</v>
      </c>
      <c r="D36" s="45" t="s">
        <v>47</v>
      </c>
      <c r="E36" s="45" t="s">
        <v>44</v>
      </c>
      <c r="F36" s="45" t="s">
        <v>49</v>
      </c>
      <c r="G36" s="45" t="s">
        <v>47</v>
      </c>
      <c r="H36" s="45" t="s">
        <v>46</v>
      </c>
      <c r="I36" s="61"/>
      <c r="J36" s="48"/>
      <c r="K36" s="45"/>
      <c r="L36" s="45" t="s">
        <v>43</v>
      </c>
      <c r="M36" s="45" t="s">
        <v>40</v>
      </c>
      <c r="N36" s="45" t="s">
        <v>49</v>
      </c>
      <c r="O36" s="45" t="s">
        <v>40</v>
      </c>
      <c r="P36" s="45" t="s">
        <v>42</v>
      </c>
      <c r="Q36" s="61"/>
      <c r="R36" s="48" t="s">
        <v>42</v>
      </c>
      <c r="S36" s="45" t="s">
        <v>47</v>
      </c>
      <c r="T36" s="45" t="s">
        <v>49</v>
      </c>
      <c r="U36" s="45"/>
      <c r="V36" s="45" t="s">
        <v>43</v>
      </c>
      <c r="W36" s="45" t="s">
        <v>40</v>
      </c>
      <c r="X36" s="45" t="s">
        <v>43</v>
      </c>
      <c r="Y36" s="61"/>
      <c r="Z36" s="28" t="s">
        <v>46</v>
      </c>
      <c r="AA36" s="45"/>
      <c r="AB36" s="45" t="s">
        <v>46</v>
      </c>
      <c r="AC36" s="45" t="s">
        <v>44</v>
      </c>
      <c r="AD36" s="45" t="s">
        <v>40</v>
      </c>
      <c r="AE36" s="45" t="s">
        <v>44</v>
      </c>
      <c r="AF36" s="45" t="s">
        <v>42</v>
      </c>
      <c r="AG36" s="61"/>
      <c r="AH36" s="48" t="s">
        <v>42</v>
      </c>
      <c r="AI36" s="45"/>
      <c r="AJ36" s="45" t="s">
        <v>47</v>
      </c>
      <c r="AK36" s="45" t="s">
        <v>49</v>
      </c>
      <c r="AL36" s="45" t="s">
        <v>40</v>
      </c>
      <c r="AM36" s="45" t="s">
        <v>44</v>
      </c>
      <c r="AN36" s="45" t="s">
        <v>43</v>
      </c>
      <c r="AO36" s="62"/>
      <c r="AP36" s="39" t="n">
        <f aca="false">40-COUNTBLANK(B36:AO36)</f>
        <v>29</v>
      </c>
      <c r="AQ36" s="98" t="n">
        <f aca="false">COUNTIF($C36:$AO36,$AS$3)</f>
        <v>0</v>
      </c>
      <c r="AR36" s="33" t="e">
        <f aca="false">INDEX(#REF!,MATCH(Расписание!AS3,#REF!,0))</f>
        <v>#REF!</v>
      </c>
    </row>
    <row r="37" s="35" customFormat="true" ht="21" hidden="false" customHeight="true" outlineLevel="0" collapsed="false">
      <c r="A37" s="99" t="s">
        <v>72</v>
      </c>
      <c r="B37" s="100"/>
      <c r="C37" s="105" t="s">
        <v>42</v>
      </c>
      <c r="D37" s="68" t="s">
        <v>42</v>
      </c>
      <c r="E37" s="68"/>
      <c r="F37" s="68" t="s">
        <v>47</v>
      </c>
      <c r="G37" s="68" t="s">
        <v>45</v>
      </c>
      <c r="H37" s="68" t="s">
        <v>45</v>
      </c>
      <c r="I37" s="69"/>
      <c r="J37" s="48" t="s">
        <v>42</v>
      </c>
      <c r="K37" s="45" t="s">
        <v>47</v>
      </c>
      <c r="L37" s="45" t="s">
        <v>47</v>
      </c>
      <c r="M37" s="45" t="s">
        <v>47</v>
      </c>
      <c r="N37" s="45" t="s">
        <v>45</v>
      </c>
      <c r="O37" s="45" t="s">
        <v>45</v>
      </c>
      <c r="P37" s="45"/>
      <c r="Q37" s="61"/>
      <c r="R37" s="48" t="s">
        <v>45</v>
      </c>
      <c r="S37" s="45" t="s">
        <v>42</v>
      </c>
      <c r="T37" s="45" t="s">
        <v>45</v>
      </c>
      <c r="U37" s="45" t="s">
        <v>47</v>
      </c>
      <c r="V37" s="45" t="s">
        <v>47</v>
      </c>
      <c r="W37" s="45" t="s">
        <v>45</v>
      </c>
      <c r="X37" s="45" t="s">
        <v>47</v>
      </c>
      <c r="Y37" s="61"/>
      <c r="Z37" s="28" t="s">
        <v>42</v>
      </c>
      <c r="AA37" s="45"/>
      <c r="AB37" s="45"/>
      <c r="AC37" s="45" t="s">
        <v>26</v>
      </c>
      <c r="AD37" s="45" t="s">
        <v>26</v>
      </c>
      <c r="AE37" s="45" t="s">
        <v>26</v>
      </c>
      <c r="AF37" s="45" t="s">
        <v>26</v>
      </c>
      <c r="AG37" s="61"/>
      <c r="AH37" s="48"/>
      <c r="AI37" s="45" t="s">
        <v>42</v>
      </c>
      <c r="AJ37" s="45" t="s">
        <v>42</v>
      </c>
      <c r="AK37" s="45"/>
      <c r="AL37" s="45" t="s">
        <v>26</v>
      </c>
      <c r="AM37" s="45" t="s">
        <v>26</v>
      </c>
      <c r="AN37" s="45" t="s">
        <v>26</v>
      </c>
      <c r="AO37" s="62"/>
      <c r="AP37" s="39" t="n">
        <f aca="false">40-COUNTBLANK(B37:AO37)</f>
        <v>28</v>
      </c>
      <c r="AQ37" s="40" t="n">
        <f aca="false">COUNTIF($C37:$AO37,$AS$3)</f>
        <v>0</v>
      </c>
      <c r="AR37" s="41" t="e">
        <f aca="false">INDEX(#REF!,MATCH(Расписание!AS3,#REF!,0))</f>
        <v>#REF!</v>
      </c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  <c r="QI37" s="43"/>
      <c r="QJ37" s="43"/>
      <c r="QK37" s="43"/>
      <c r="QL37" s="43"/>
      <c r="QM37" s="43"/>
      <c r="QN37" s="43"/>
      <c r="QO37" s="43"/>
      <c r="QP37" s="43"/>
      <c r="QQ37" s="43"/>
      <c r="QR37" s="43"/>
      <c r="QS37" s="43"/>
      <c r="QT37" s="43"/>
      <c r="QU37" s="43"/>
      <c r="QV37" s="43"/>
      <c r="QW37" s="43"/>
      <c r="QX37" s="43"/>
      <c r="QY37" s="43"/>
      <c r="QZ37" s="43"/>
      <c r="RA37" s="43"/>
      <c r="RB37" s="43"/>
      <c r="RC37" s="43"/>
      <c r="RD37" s="43"/>
      <c r="RE37" s="43"/>
      <c r="RF37" s="43"/>
      <c r="RG37" s="43"/>
      <c r="RH37" s="43"/>
      <c r="RI37" s="43"/>
      <c r="RJ37" s="43"/>
      <c r="RK37" s="43"/>
      <c r="RL37" s="43"/>
      <c r="RM37" s="43"/>
      <c r="RN37" s="43"/>
      <c r="RO37" s="43"/>
      <c r="RP37" s="43"/>
      <c r="RQ37" s="43"/>
      <c r="RR37" s="43"/>
      <c r="RS37" s="43"/>
      <c r="RT37" s="43"/>
      <c r="RU37" s="43"/>
      <c r="RV37" s="43"/>
      <c r="RW37" s="43"/>
      <c r="RX37" s="43"/>
      <c r="RY37" s="43"/>
      <c r="RZ37" s="43"/>
      <c r="SA37" s="43"/>
      <c r="SB37" s="43"/>
      <c r="SC37" s="43"/>
      <c r="SD37" s="43"/>
      <c r="SE37" s="43"/>
      <c r="SF37" s="43"/>
      <c r="SG37" s="43"/>
      <c r="SH37" s="43"/>
      <c r="SI37" s="43"/>
      <c r="SJ37" s="43"/>
      <c r="SK37" s="43"/>
      <c r="SL37" s="43"/>
      <c r="SM37" s="43"/>
      <c r="SN37" s="43"/>
      <c r="SO37" s="43"/>
      <c r="SP37" s="43"/>
      <c r="SQ37" s="43"/>
      <c r="SR37" s="43"/>
      <c r="SS37" s="43"/>
      <c r="ST37" s="43"/>
      <c r="SU37" s="43"/>
      <c r="SV37" s="43"/>
      <c r="SW37" s="43"/>
      <c r="SX37" s="43"/>
      <c r="SY37" s="43"/>
      <c r="SZ37" s="43"/>
      <c r="TA37" s="43"/>
      <c r="TB37" s="43"/>
      <c r="TC37" s="43"/>
      <c r="TD37" s="43"/>
      <c r="TE37" s="43"/>
      <c r="TF37" s="43"/>
      <c r="TG37" s="43"/>
      <c r="TH37" s="43"/>
      <c r="TI37" s="43"/>
      <c r="TJ37" s="43"/>
      <c r="TK37" s="43"/>
      <c r="TL37" s="43"/>
      <c r="TM37" s="43"/>
      <c r="TN37" s="43"/>
      <c r="TO37" s="43"/>
      <c r="TP37" s="43"/>
      <c r="TQ37" s="43"/>
      <c r="TR37" s="43"/>
      <c r="TS37" s="43"/>
      <c r="TT37" s="43"/>
      <c r="TU37" s="43"/>
      <c r="TV37" s="43"/>
      <c r="TW37" s="43"/>
      <c r="TX37" s="43"/>
      <c r="TY37" s="43"/>
      <c r="TZ37" s="43"/>
      <c r="UA37" s="43"/>
      <c r="UB37" s="43"/>
      <c r="UC37" s="43"/>
      <c r="UD37" s="43"/>
      <c r="UE37" s="43"/>
      <c r="UF37" s="43"/>
      <c r="UG37" s="43"/>
      <c r="UH37" s="43"/>
      <c r="UI37" s="43"/>
      <c r="UJ37" s="43"/>
      <c r="UK37" s="43"/>
      <c r="UL37" s="43"/>
      <c r="UM37" s="43"/>
      <c r="UN37" s="43"/>
      <c r="UO37" s="43"/>
      <c r="UP37" s="43"/>
      <c r="UQ37" s="43"/>
      <c r="UR37" s="43"/>
      <c r="US37" s="43"/>
      <c r="UT37" s="43"/>
      <c r="UU37" s="43"/>
      <c r="UV37" s="43"/>
      <c r="UW37" s="43"/>
      <c r="UX37" s="43"/>
      <c r="UY37" s="43"/>
      <c r="UZ37" s="43"/>
      <c r="VA37" s="43"/>
      <c r="VB37" s="43"/>
      <c r="VC37" s="43"/>
      <c r="VD37" s="43"/>
      <c r="VE37" s="43"/>
      <c r="VF37" s="43"/>
      <c r="VG37" s="43"/>
      <c r="VH37" s="43"/>
      <c r="VI37" s="43"/>
      <c r="VJ37" s="43"/>
      <c r="VK37" s="43"/>
      <c r="VL37" s="43"/>
      <c r="VM37" s="43"/>
      <c r="VN37" s="43"/>
      <c r="VO37" s="43"/>
      <c r="VP37" s="43"/>
      <c r="VQ37" s="43"/>
      <c r="VR37" s="43"/>
      <c r="VS37" s="43"/>
      <c r="VT37" s="43"/>
      <c r="VU37" s="43"/>
      <c r="VV37" s="43"/>
      <c r="VW37" s="43"/>
      <c r="VX37" s="43"/>
      <c r="VY37" s="43"/>
      <c r="VZ37" s="43"/>
      <c r="WA37" s="43"/>
      <c r="WB37" s="43"/>
      <c r="WC37" s="43"/>
      <c r="WD37" s="43"/>
      <c r="WE37" s="43"/>
      <c r="WF37" s="43"/>
      <c r="WG37" s="43"/>
      <c r="WH37" s="43"/>
      <c r="WI37" s="43"/>
      <c r="WJ37" s="43"/>
      <c r="WK37" s="43"/>
      <c r="WL37" s="43"/>
      <c r="WM37" s="43"/>
      <c r="WN37" s="43"/>
      <c r="WO37" s="43"/>
      <c r="WP37" s="43"/>
      <c r="WQ37" s="43"/>
      <c r="WR37" s="43"/>
      <c r="WS37" s="43"/>
      <c r="WT37" s="43"/>
      <c r="WU37" s="43"/>
      <c r="WV37" s="43"/>
      <c r="WW37" s="43"/>
      <c r="WX37" s="43"/>
      <c r="WY37" s="43"/>
      <c r="WZ37" s="43"/>
      <c r="XA37" s="43"/>
      <c r="XB37" s="43"/>
      <c r="XC37" s="43"/>
      <c r="XD37" s="43"/>
      <c r="XE37" s="43"/>
      <c r="XF37" s="43"/>
      <c r="XG37" s="43"/>
      <c r="XH37" s="43"/>
      <c r="XI37" s="43"/>
    </row>
    <row r="38" s="35" customFormat="true" ht="21" hidden="false" customHeight="true" outlineLevel="0" collapsed="false">
      <c r="A38" s="96" t="s">
        <v>73</v>
      </c>
      <c r="B38" s="97"/>
      <c r="C38" s="105" t="s">
        <v>41</v>
      </c>
      <c r="D38" s="68" t="s">
        <v>47</v>
      </c>
      <c r="E38" s="68" t="s">
        <v>44</v>
      </c>
      <c r="F38" s="68" t="s">
        <v>49</v>
      </c>
      <c r="G38" s="68" t="s">
        <v>47</v>
      </c>
      <c r="H38" s="68" t="s">
        <v>41</v>
      </c>
      <c r="I38" s="69"/>
      <c r="J38" s="48"/>
      <c r="K38" s="45" t="s">
        <v>45</v>
      </c>
      <c r="L38" s="45"/>
      <c r="M38" s="45"/>
      <c r="N38" s="45" t="s">
        <v>49</v>
      </c>
      <c r="O38" s="45"/>
      <c r="P38" s="45" t="s">
        <v>42</v>
      </c>
      <c r="Q38" s="61"/>
      <c r="R38" s="105" t="s">
        <v>42</v>
      </c>
      <c r="S38" s="68" t="s">
        <v>47</v>
      </c>
      <c r="T38" s="68" t="s">
        <v>49</v>
      </c>
      <c r="U38" s="68" t="s">
        <v>45</v>
      </c>
      <c r="V38" s="68"/>
      <c r="W38" s="45"/>
      <c r="X38" s="68"/>
      <c r="Y38" s="69"/>
      <c r="Z38" s="28" t="s">
        <v>45</v>
      </c>
      <c r="AA38" s="29" t="s">
        <v>41</v>
      </c>
      <c r="AB38" s="45" t="s">
        <v>41</v>
      </c>
      <c r="AC38" s="45" t="s">
        <v>44</v>
      </c>
      <c r="AD38" s="45"/>
      <c r="AE38" s="45" t="s">
        <v>44</v>
      </c>
      <c r="AF38" s="45" t="s">
        <v>42</v>
      </c>
      <c r="AG38" s="61"/>
      <c r="AH38" s="105" t="s">
        <v>42</v>
      </c>
      <c r="AI38" s="68" t="s">
        <v>45</v>
      </c>
      <c r="AJ38" s="68" t="s">
        <v>47</v>
      </c>
      <c r="AK38" s="68" t="s">
        <v>49</v>
      </c>
      <c r="AL38" s="68"/>
      <c r="AM38" s="68" t="s">
        <v>44</v>
      </c>
      <c r="AN38" s="45"/>
      <c r="AO38" s="70"/>
      <c r="AP38" s="39" t="n">
        <f aca="false">40-COUNTBLANK(B38:AO38)</f>
        <v>24</v>
      </c>
      <c r="AQ38" s="98" t="n">
        <f aca="false">COUNTIF($C38:$AO38,$AS$3)</f>
        <v>0</v>
      </c>
      <c r="AR38" s="33" t="e">
        <f aca="false">INDEX(#REF!,MATCH(Расписание!AS3,#REF!,0))</f>
        <v>#REF!</v>
      </c>
    </row>
    <row r="39" s="43" customFormat="true" ht="21" hidden="false" customHeight="true" outlineLevel="0" collapsed="false">
      <c r="A39" s="99" t="s">
        <v>74</v>
      </c>
      <c r="B39" s="100"/>
      <c r="C39" s="48" t="s">
        <v>44</v>
      </c>
      <c r="D39" s="45"/>
      <c r="E39" s="45" t="s">
        <v>40</v>
      </c>
      <c r="F39" s="45" t="s">
        <v>44</v>
      </c>
      <c r="G39" s="45" t="s">
        <v>49</v>
      </c>
      <c r="H39" s="45"/>
      <c r="I39" s="61" t="s">
        <v>43</v>
      </c>
      <c r="J39" s="48" t="s">
        <v>49</v>
      </c>
      <c r="K39" s="45" t="s">
        <v>41</v>
      </c>
      <c r="L39" s="45" t="s">
        <v>49</v>
      </c>
      <c r="M39" s="45"/>
      <c r="N39" s="45" t="s">
        <v>44</v>
      </c>
      <c r="O39" s="45" t="s">
        <v>41</v>
      </c>
      <c r="P39" s="45"/>
      <c r="Q39" s="61"/>
      <c r="R39" s="48" t="s">
        <v>40</v>
      </c>
      <c r="S39" s="45" t="s">
        <v>41</v>
      </c>
      <c r="T39" s="45" t="s">
        <v>46</v>
      </c>
      <c r="U39" s="45" t="s">
        <v>49</v>
      </c>
      <c r="V39" s="45" t="s">
        <v>40</v>
      </c>
      <c r="W39" s="45" t="s">
        <v>44</v>
      </c>
      <c r="X39" s="45"/>
      <c r="Y39" s="61"/>
      <c r="Z39" s="28" t="s">
        <v>40</v>
      </c>
      <c r="AA39" s="45" t="s">
        <v>49</v>
      </c>
      <c r="AB39" s="45"/>
      <c r="AC39" s="45" t="s">
        <v>49</v>
      </c>
      <c r="AD39" s="45" t="s">
        <v>48</v>
      </c>
      <c r="AE39" s="45" t="s">
        <v>41</v>
      </c>
      <c r="AF39" s="29" t="s">
        <v>47</v>
      </c>
      <c r="AG39" s="61"/>
      <c r="AH39" s="48" t="s">
        <v>44</v>
      </c>
      <c r="AI39" s="45"/>
      <c r="AJ39" s="45" t="s">
        <v>40</v>
      </c>
      <c r="AK39" s="29" t="s">
        <v>41</v>
      </c>
      <c r="AL39" s="45" t="s">
        <v>44</v>
      </c>
      <c r="AM39" s="45" t="s">
        <v>41</v>
      </c>
      <c r="AN39" s="45"/>
      <c r="AO39" s="62"/>
      <c r="AP39" s="39" t="n">
        <f aca="false">40-COUNTBLANK(B39:AO39)</f>
        <v>27</v>
      </c>
      <c r="AQ39" s="40" t="n">
        <f aca="false">COUNTIF($C39:$AO39,$AS$3)</f>
        <v>0</v>
      </c>
      <c r="AR39" s="41" t="e">
        <f aca="false">INDEX(#REF!,MATCH(Расписание!AS3,#REF!,0))</f>
        <v>#REF!</v>
      </c>
    </row>
    <row r="40" s="101" customFormat="true" ht="21" hidden="false" customHeight="true" outlineLevel="0" collapsed="false">
      <c r="A40" s="106" t="s">
        <v>75</v>
      </c>
      <c r="B40" s="107"/>
      <c r="C40" s="48" t="s">
        <v>14</v>
      </c>
      <c r="D40" s="45" t="s">
        <v>44</v>
      </c>
      <c r="E40" s="45" t="s">
        <v>49</v>
      </c>
      <c r="F40" s="45" t="s">
        <v>45</v>
      </c>
      <c r="G40" s="45"/>
      <c r="H40" s="45"/>
      <c r="I40" s="61"/>
      <c r="J40" s="48" t="s">
        <v>40</v>
      </c>
      <c r="K40" s="45"/>
      <c r="L40" s="45" t="s">
        <v>46</v>
      </c>
      <c r="M40" s="45" t="s">
        <v>14</v>
      </c>
      <c r="N40" s="45" t="s">
        <v>43</v>
      </c>
      <c r="O40" s="45" t="s">
        <v>42</v>
      </c>
      <c r="P40" s="45"/>
      <c r="Q40" s="61"/>
      <c r="R40" s="48"/>
      <c r="S40" s="45"/>
      <c r="T40" s="45"/>
      <c r="U40" s="45"/>
      <c r="V40" s="45" t="s">
        <v>48</v>
      </c>
      <c r="W40" s="45" t="s">
        <v>41</v>
      </c>
      <c r="X40" s="45"/>
      <c r="Y40" s="61"/>
      <c r="Z40" s="28"/>
      <c r="AA40" s="45" t="s">
        <v>44</v>
      </c>
      <c r="AB40" s="45" t="s">
        <v>40</v>
      </c>
      <c r="AC40" s="45" t="s">
        <v>48</v>
      </c>
      <c r="AD40" s="45" t="s">
        <v>46</v>
      </c>
      <c r="AE40" s="45" t="s">
        <v>47</v>
      </c>
      <c r="AF40" s="45" t="s">
        <v>43</v>
      </c>
      <c r="AG40" s="61"/>
      <c r="AH40" s="48" t="s">
        <v>41</v>
      </c>
      <c r="AI40" s="45"/>
      <c r="AJ40" s="45" t="s">
        <v>49</v>
      </c>
      <c r="AK40" s="45" t="s">
        <v>42</v>
      </c>
      <c r="AL40" s="45" t="s">
        <v>45</v>
      </c>
      <c r="AM40" s="45" t="s">
        <v>47</v>
      </c>
      <c r="AN40" s="45"/>
      <c r="AO40" s="62"/>
      <c r="AP40" s="39" t="n">
        <f aca="false">40-COUNTBLANK(B40:AO40)</f>
        <v>22</v>
      </c>
      <c r="AQ40" s="40" t="n">
        <f aca="false">COUNTIF($C40:$AO40,$AS$3)</f>
        <v>2</v>
      </c>
      <c r="AR40" s="41" t="e">
        <f aca="false">INDEX(#REF!,MATCH(Расписание!AS3,#REF!,0))</f>
        <v>#REF!</v>
      </c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/>
      <c r="PA40" s="43"/>
      <c r="PB40" s="43"/>
      <c r="PC40" s="43"/>
      <c r="PD40" s="43"/>
      <c r="PE40" s="43"/>
      <c r="PF40" s="43"/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  <c r="QI40" s="43"/>
      <c r="QJ40" s="43"/>
      <c r="QK40" s="43"/>
      <c r="QL40" s="43"/>
      <c r="QM40" s="43"/>
      <c r="QN40" s="43"/>
      <c r="QO40" s="43"/>
      <c r="QP40" s="43"/>
      <c r="QQ40" s="43"/>
      <c r="QR40" s="43"/>
      <c r="QS40" s="43"/>
      <c r="QT40" s="43"/>
      <c r="QU40" s="43"/>
      <c r="QV40" s="43"/>
      <c r="QW40" s="43"/>
      <c r="QX40" s="43"/>
      <c r="QY40" s="43"/>
      <c r="QZ40" s="43"/>
      <c r="RA40" s="43"/>
      <c r="RB40" s="43"/>
      <c r="RC40" s="43"/>
      <c r="RD40" s="43"/>
      <c r="RE40" s="43"/>
      <c r="RF40" s="43"/>
      <c r="RG40" s="43"/>
      <c r="RH40" s="43"/>
      <c r="RI40" s="43"/>
      <c r="RJ40" s="43"/>
      <c r="RK40" s="43"/>
      <c r="RL40" s="43"/>
      <c r="RM40" s="43"/>
      <c r="RN40" s="43"/>
      <c r="RO40" s="43"/>
      <c r="RP40" s="43"/>
      <c r="RQ40" s="43"/>
      <c r="RR40" s="43"/>
      <c r="RS40" s="43"/>
      <c r="RT40" s="43"/>
      <c r="RU40" s="43"/>
      <c r="RV40" s="43"/>
      <c r="RW40" s="43"/>
      <c r="RX40" s="43"/>
      <c r="RY40" s="43"/>
      <c r="RZ40" s="43"/>
      <c r="SA40" s="43"/>
      <c r="SB40" s="43"/>
      <c r="SC40" s="43"/>
      <c r="SD40" s="43"/>
      <c r="SE40" s="43"/>
      <c r="SF40" s="43"/>
      <c r="SG40" s="43"/>
      <c r="SH40" s="43"/>
      <c r="SI40" s="43"/>
      <c r="SJ40" s="43"/>
      <c r="SK40" s="43"/>
      <c r="SL40" s="43"/>
      <c r="SM40" s="43"/>
      <c r="SN40" s="43"/>
      <c r="SO40" s="43"/>
      <c r="SP40" s="43"/>
      <c r="SQ40" s="43"/>
      <c r="SR40" s="43"/>
      <c r="SS40" s="43"/>
      <c r="ST40" s="43"/>
      <c r="SU40" s="43"/>
      <c r="SV40" s="43"/>
      <c r="SW40" s="43"/>
      <c r="SX40" s="43"/>
      <c r="SY40" s="43"/>
      <c r="SZ40" s="43"/>
      <c r="TA40" s="43"/>
      <c r="TB40" s="43"/>
      <c r="TC40" s="43"/>
      <c r="TD40" s="43"/>
      <c r="TE40" s="43"/>
      <c r="TF40" s="43"/>
      <c r="TG40" s="43"/>
      <c r="TH40" s="43"/>
      <c r="TI40" s="43"/>
      <c r="TJ40" s="43"/>
      <c r="TK40" s="43"/>
      <c r="TL40" s="43"/>
      <c r="TM40" s="43"/>
      <c r="TN40" s="43"/>
      <c r="TO40" s="43"/>
      <c r="TP40" s="43"/>
      <c r="TQ40" s="43"/>
      <c r="TR40" s="43"/>
      <c r="TS40" s="43"/>
      <c r="TT40" s="43"/>
      <c r="TU40" s="43"/>
      <c r="TV40" s="43"/>
      <c r="TW40" s="43"/>
      <c r="TX40" s="43"/>
      <c r="TY40" s="43"/>
      <c r="TZ40" s="43"/>
      <c r="UA40" s="43"/>
      <c r="UB40" s="43"/>
      <c r="UC40" s="43"/>
      <c r="UD40" s="43"/>
      <c r="UE40" s="43"/>
      <c r="UF40" s="43"/>
      <c r="UG40" s="43"/>
      <c r="UH40" s="43"/>
      <c r="UI40" s="43"/>
      <c r="UJ40" s="43"/>
      <c r="UK40" s="43"/>
      <c r="UL40" s="43"/>
      <c r="UM40" s="43"/>
      <c r="UN40" s="43"/>
      <c r="UO40" s="43"/>
      <c r="UP40" s="43"/>
      <c r="UQ40" s="43"/>
      <c r="UR40" s="43"/>
      <c r="US40" s="43"/>
      <c r="UT40" s="43"/>
      <c r="UU40" s="43"/>
      <c r="UV40" s="43"/>
      <c r="UW40" s="43"/>
      <c r="UX40" s="43"/>
      <c r="UY40" s="43"/>
      <c r="UZ40" s="43"/>
      <c r="VA40" s="43"/>
      <c r="VB40" s="43"/>
      <c r="VC40" s="43"/>
      <c r="VD40" s="43"/>
      <c r="VE40" s="43"/>
      <c r="VF40" s="43"/>
      <c r="VG40" s="43"/>
      <c r="VH40" s="43"/>
      <c r="VI40" s="43"/>
      <c r="VJ40" s="43"/>
      <c r="VK40" s="43"/>
      <c r="VL40" s="43"/>
      <c r="VM40" s="43"/>
      <c r="VN40" s="43"/>
      <c r="VO40" s="43"/>
      <c r="VP40" s="43"/>
      <c r="VQ40" s="43"/>
      <c r="VR40" s="43"/>
      <c r="VS40" s="43"/>
      <c r="VT40" s="43"/>
      <c r="VU40" s="43"/>
      <c r="VV40" s="43"/>
      <c r="VW40" s="43"/>
      <c r="VX40" s="43"/>
      <c r="VY40" s="43"/>
      <c r="VZ40" s="43"/>
      <c r="WA40" s="43"/>
      <c r="WB40" s="43"/>
      <c r="WC40" s="43"/>
      <c r="WD40" s="43"/>
      <c r="WE40" s="43"/>
      <c r="WF40" s="43"/>
      <c r="WG40" s="43"/>
      <c r="WH40" s="43"/>
      <c r="WI40" s="43"/>
      <c r="WJ40" s="43"/>
      <c r="WK40" s="43"/>
      <c r="WL40" s="43"/>
      <c r="WM40" s="43"/>
      <c r="WN40" s="43"/>
      <c r="WO40" s="43"/>
      <c r="WP40" s="43"/>
      <c r="WQ40" s="43"/>
      <c r="WR40" s="43"/>
      <c r="WS40" s="43"/>
      <c r="WT40" s="43"/>
      <c r="WU40" s="43"/>
      <c r="WV40" s="43"/>
      <c r="WW40" s="43"/>
      <c r="WX40" s="43"/>
      <c r="WY40" s="43"/>
      <c r="WZ40" s="43"/>
      <c r="XA40" s="43"/>
      <c r="XB40" s="43"/>
      <c r="XC40" s="43"/>
      <c r="XD40" s="43"/>
      <c r="XE40" s="43"/>
      <c r="XF40" s="43"/>
      <c r="XG40" s="43"/>
      <c r="XH40" s="43"/>
      <c r="XI40" s="43"/>
    </row>
    <row r="41" s="35" customFormat="true" ht="21" hidden="false" customHeight="true" outlineLevel="0" collapsed="false">
      <c r="A41" s="99" t="s">
        <v>76</v>
      </c>
      <c r="B41" s="100"/>
      <c r="C41" s="48"/>
      <c r="D41" s="45"/>
      <c r="E41" s="45"/>
      <c r="F41" s="45"/>
      <c r="G41" s="45"/>
      <c r="H41" s="45"/>
      <c r="I41" s="61"/>
      <c r="J41" s="48"/>
      <c r="K41" s="45"/>
      <c r="L41" s="45"/>
      <c r="M41" s="45"/>
      <c r="N41" s="45"/>
      <c r="O41" s="45"/>
      <c r="P41" s="45"/>
      <c r="Q41" s="61"/>
      <c r="R41" s="48"/>
      <c r="S41" s="45"/>
      <c r="T41" s="45"/>
      <c r="U41" s="45"/>
      <c r="V41" s="45"/>
      <c r="W41" s="45"/>
      <c r="X41" s="45"/>
      <c r="Y41" s="61"/>
      <c r="Z41" s="28"/>
      <c r="AA41" s="45"/>
      <c r="AB41" s="45"/>
      <c r="AC41" s="45"/>
      <c r="AD41" s="45"/>
      <c r="AE41" s="45" t="s">
        <v>11</v>
      </c>
      <c r="AF41" s="45" t="s">
        <v>13</v>
      </c>
      <c r="AG41" s="61"/>
      <c r="AH41" s="48"/>
      <c r="AI41" s="45"/>
      <c r="AJ41" s="45"/>
      <c r="AK41" s="45"/>
      <c r="AL41" s="45"/>
      <c r="AM41" s="45"/>
      <c r="AN41" s="45"/>
      <c r="AO41" s="62"/>
      <c r="AP41" s="39" t="n">
        <f aca="false">40-COUNTBLANK(B41:AO41)</f>
        <v>2</v>
      </c>
      <c r="AQ41" s="40" t="n">
        <f aca="false">COUNTIF($C41:$AO41,$AS$3)</f>
        <v>0</v>
      </c>
      <c r="AR41" s="33" t="e">
        <f aca="false">INDEX(#REF!,MATCH(Расписание!AS3,#REF!,0))</f>
        <v>#REF!</v>
      </c>
    </row>
    <row r="42" s="43" customFormat="true" ht="21" hidden="false" customHeight="true" outlineLevel="0" collapsed="false">
      <c r="A42" s="99" t="s">
        <v>77</v>
      </c>
      <c r="B42" s="100"/>
      <c r="C42" s="108"/>
      <c r="D42" s="109"/>
      <c r="E42" s="109"/>
      <c r="F42" s="109"/>
      <c r="G42" s="109"/>
      <c r="H42" s="109"/>
      <c r="I42" s="110"/>
      <c r="J42" s="75"/>
      <c r="K42" s="76"/>
      <c r="L42" s="76"/>
      <c r="M42" s="76"/>
      <c r="N42" s="76"/>
      <c r="O42" s="76"/>
      <c r="P42" s="76"/>
      <c r="Q42" s="77"/>
      <c r="R42" s="48"/>
      <c r="S42" s="45"/>
      <c r="T42" s="45"/>
      <c r="U42" s="45"/>
      <c r="V42" s="45"/>
      <c r="W42" s="45"/>
      <c r="X42" s="45"/>
      <c r="Y42" s="61"/>
      <c r="Z42" s="78"/>
      <c r="AA42" s="79"/>
      <c r="AB42" s="79"/>
      <c r="AC42" s="79"/>
      <c r="AD42" s="79"/>
      <c r="AE42" s="79"/>
      <c r="AF42" s="79"/>
      <c r="AG42" s="80"/>
      <c r="AH42" s="44" t="s">
        <v>45</v>
      </c>
      <c r="AI42" s="55" t="s">
        <v>41</v>
      </c>
      <c r="AJ42" s="55" t="s">
        <v>44</v>
      </c>
      <c r="AK42" s="55" t="s">
        <v>40</v>
      </c>
      <c r="AL42" s="55" t="s">
        <v>14</v>
      </c>
      <c r="AM42" s="55" t="s">
        <v>49</v>
      </c>
      <c r="AN42" s="55" t="s">
        <v>42</v>
      </c>
      <c r="AO42" s="111"/>
      <c r="AP42" s="39" t="n">
        <f aca="false">40-COUNTBLANK(B42:AO42)</f>
        <v>7</v>
      </c>
      <c r="AQ42" s="40" t="n">
        <f aca="false">COUNTIF($C42:$AO42,$AS$3)</f>
        <v>1</v>
      </c>
      <c r="AR42" s="41" t="e">
        <f aca="false">INDEX(#REF!,MATCH(Расписание!AS3,#REF!,0))</f>
        <v>#REF!</v>
      </c>
    </row>
    <row r="43" s="43" customFormat="true" ht="21" hidden="false" customHeight="true" outlineLevel="0" collapsed="false">
      <c r="A43" s="99" t="s">
        <v>78</v>
      </c>
      <c r="B43" s="112"/>
      <c r="C43" s="28"/>
      <c r="D43" s="29"/>
      <c r="E43" s="29"/>
      <c r="F43" s="29"/>
      <c r="G43" s="29"/>
      <c r="H43" s="57"/>
      <c r="I43" s="58"/>
      <c r="J43" s="48"/>
      <c r="K43" s="45"/>
      <c r="L43" s="45"/>
      <c r="M43" s="45"/>
      <c r="N43" s="45"/>
      <c r="O43" s="45"/>
      <c r="P43" s="45"/>
      <c r="Q43" s="61"/>
      <c r="R43" s="48"/>
      <c r="S43" s="45"/>
      <c r="T43" s="45"/>
      <c r="U43" s="45"/>
      <c r="V43" s="45"/>
      <c r="W43" s="45"/>
      <c r="X43" s="45"/>
      <c r="Y43" s="61"/>
      <c r="Z43" s="28"/>
      <c r="AA43" s="45"/>
      <c r="AB43" s="45" t="s">
        <v>23</v>
      </c>
      <c r="AC43" s="45" t="s">
        <v>23</v>
      </c>
      <c r="AD43" s="45"/>
      <c r="AE43" s="45"/>
      <c r="AF43" s="45"/>
      <c r="AG43" s="61"/>
      <c r="AH43" s="48"/>
      <c r="AI43" s="45"/>
      <c r="AJ43" s="45"/>
      <c r="AK43" s="45"/>
      <c r="AL43" s="45"/>
      <c r="AM43" s="45"/>
      <c r="AN43" s="45"/>
      <c r="AO43" s="62"/>
      <c r="AP43" s="39" t="n">
        <f aca="false">40-COUNTBLANK(B43:AO43)</f>
        <v>2</v>
      </c>
      <c r="AQ43" s="40" t="n">
        <f aca="false">COUNTIF($C43:$AO43,$AS$3)</f>
        <v>0</v>
      </c>
      <c r="AR43" s="41" t="e">
        <f aca="false">INDEX(#REF!,MATCH(Расписание!AS3,#REF!,0))</f>
        <v>#REF!</v>
      </c>
    </row>
    <row r="44" s="43" customFormat="true" ht="21" hidden="false" customHeight="true" outlineLevel="0" collapsed="false">
      <c r="A44" s="99" t="s">
        <v>79</v>
      </c>
      <c r="B44" s="112"/>
      <c r="C44" s="28"/>
      <c r="D44" s="29"/>
      <c r="E44" s="29"/>
      <c r="F44" s="29"/>
      <c r="G44" s="29"/>
      <c r="H44" s="57"/>
      <c r="I44" s="58"/>
      <c r="J44" s="48"/>
      <c r="K44" s="45"/>
      <c r="L44" s="45"/>
      <c r="M44" s="45"/>
      <c r="N44" s="45"/>
      <c r="O44" s="45"/>
      <c r="P44" s="45"/>
      <c r="Q44" s="61"/>
      <c r="R44" s="48"/>
      <c r="S44" s="45"/>
      <c r="T44" s="45"/>
      <c r="U44" s="45"/>
      <c r="V44" s="45"/>
      <c r="W44" s="45"/>
      <c r="X44" s="45"/>
      <c r="Y44" s="61"/>
      <c r="Z44" s="28"/>
      <c r="AA44" s="45"/>
      <c r="AB44" s="45"/>
      <c r="AC44" s="45"/>
      <c r="AD44" s="45"/>
      <c r="AE44" s="45"/>
      <c r="AF44" s="45"/>
      <c r="AG44" s="61"/>
      <c r="AH44" s="48"/>
      <c r="AI44" s="45"/>
      <c r="AJ44" s="45"/>
      <c r="AK44" s="45"/>
      <c r="AL44" s="45"/>
      <c r="AM44" s="45"/>
      <c r="AN44" s="45"/>
      <c r="AO44" s="62"/>
      <c r="AP44" s="39" t="n">
        <f aca="false">40-COUNTBLANK(B44:AO44)</f>
        <v>0</v>
      </c>
      <c r="AQ44" s="40" t="n">
        <f aca="false">COUNTIF($C44:$AO44,$AS$3)</f>
        <v>0</v>
      </c>
      <c r="AR44" s="41"/>
    </row>
    <row r="45" s="43" customFormat="true" ht="21" hidden="false" customHeight="true" outlineLevel="0" collapsed="false">
      <c r="A45" s="113" t="s">
        <v>80</v>
      </c>
      <c r="B45" s="114"/>
      <c r="C45" s="115"/>
      <c r="D45" s="116"/>
      <c r="E45" s="116"/>
      <c r="F45" s="117" t="s">
        <v>10</v>
      </c>
      <c r="G45" s="116"/>
      <c r="H45" s="116"/>
      <c r="I45" s="118"/>
      <c r="J45" s="115"/>
      <c r="K45" s="116"/>
      <c r="L45" s="116"/>
      <c r="M45" s="117" t="s">
        <v>10</v>
      </c>
      <c r="N45" s="117" t="s">
        <v>21</v>
      </c>
      <c r="O45" s="116"/>
      <c r="P45" s="116"/>
      <c r="Q45" s="118"/>
      <c r="R45" s="115"/>
      <c r="S45" s="116"/>
      <c r="T45" s="117" t="s">
        <v>21</v>
      </c>
      <c r="U45" s="116"/>
      <c r="V45" s="116"/>
      <c r="W45" s="116"/>
      <c r="X45" s="116"/>
      <c r="Y45" s="118"/>
      <c r="Z45" s="119"/>
      <c r="AA45" s="120"/>
      <c r="AB45" s="120"/>
      <c r="AC45" s="120"/>
      <c r="AD45" s="121" t="s">
        <v>10</v>
      </c>
      <c r="AE45" s="121" t="s">
        <v>21</v>
      </c>
      <c r="AF45" s="120"/>
      <c r="AG45" s="122"/>
      <c r="AH45" s="123"/>
      <c r="AI45" s="124"/>
      <c r="AJ45" s="124"/>
      <c r="AK45" s="124"/>
      <c r="AL45" s="124"/>
      <c r="AM45" s="124"/>
      <c r="AN45" s="124"/>
      <c r="AO45" s="125"/>
      <c r="AP45" s="126" t="n">
        <f aca="false">40-COUNTBLANK(B45:AO45)</f>
        <v>6</v>
      </c>
      <c r="AQ45" s="127" t="n">
        <f aca="false">COUNTIF($C45:$AO45,$AS$3)</f>
        <v>0</v>
      </c>
      <c r="AR45" s="41" t="e">
        <f aca="false">INDEX(#REF!,MATCH(Расписание!AS3,#REF!,0))</f>
        <v>#REF!</v>
      </c>
    </row>
    <row r="46" customFormat="false" ht="15" hidden="false" customHeight="false" outlineLevel="0" collapsed="false">
      <c r="A46" s="128"/>
      <c r="B46" s="129" t="n">
        <v>1</v>
      </c>
      <c r="C46" s="130" t="n">
        <v>2</v>
      </c>
      <c r="D46" s="131" t="n">
        <v>3</v>
      </c>
      <c r="E46" s="131" t="n">
        <v>4</v>
      </c>
      <c r="F46" s="131" t="n">
        <v>5</v>
      </c>
      <c r="G46" s="131" t="n">
        <v>6</v>
      </c>
      <c r="H46" s="131" t="n">
        <v>7</v>
      </c>
      <c r="I46" s="132" t="n">
        <v>8</v>
      </c>
      <c r="J46" s="130" t="n">
        <v>1</v>
      </c>
      <c r="K46" s="131" t="n">
        <v>2</v>
      </c>
      <c r="L46" s="131" t="n">
        <v>3</v>
      </c>
      <c r="M46" s="131" t="n">
        <v>4</v>
      </c>
      <c r="N46" s="131" t="n">
        <v>5</v>
      </c>
      <c r="O46" s="131" t="n">
        <v>6</v>
      </c>
      <c r="P46" s="131" t="n">
        <v>7</v>
      </c>
      <c r="Q46" s="133" t="n">
        <v>8</v>
      </c>
      <c r="R46" s="134" t="n">
        <v>1</v>
      </c>
      <c r="S46" s="131" t="n">
        <v>2</v>
      </c>
      <c r="T46" s="131" t="n">
        <v>3</v>
      </c>
      <c r="U46" s="131" t="n">
        <v>4</v>
      </c>
      <c r="V46" s="131" t="n">
        <v>5</v>
      </c>
      <c r="W46" s="131" t="n">
        <v>6</v>
      </c>
      <c r="X46" s="131" t="n">
        <v>7</v>
      </c>
      <c r="Y46" s="132" t="n">
        <v>8</v>
      </c>
      <c r="Z46" s="135" t="n">
        <v>1</v>
      </c>
      <c r="AA46" s="131" t="n">
        <v>2</v>
      </c>
      <c r="AB46" s="131" t="n">
        <v>3</v>
      </c>
      <c r="AC46" s="131" t="n">
        <v>4</v>
      </c>
      <c r="AD46" s="131" t="n">
        <v>5</v>
      </c>
      <c r="AE46" s="131" t="n">
        <v>6</v>
      </c>
      <c r="AF46" s="131" t="n">
        <v>7</v>
      </c>
      <c r="AG46" s="133" t="n">
        <v>8</v>
      </c>
      <c r="AH46" s="134" t="n">
        <v>1</v>
      </c>
      <c r="AI46" s="131" t="n">
        <v>2</v>
      </c>
      <c r="AJ46" s="131" t="n">
        <v>3</v>
      </c>
      <c r="AK46" s="131" t="n">
        <v>4</v>
      </c>
      <c r="AL46" s="131" t="n">
        <v>5</v>
      </c>
      <c r="AM46" s="131" t="n">
        <v>6</v>
      </c>
      <c r="AN46" s="131" t="n">
        <v>7</v>
      </c>
      <c r="AO46" s="133" t="n">
        <v>8</v>
      </c>
      <c r="AP46" s="136" t="n">
        <f aca="false">SUM(AP3:AP45)</f>
        <v>906</v>
      </c>
      <c r="AQ46" s="136" t="n">
        <f aca="false">SUM(AQ3:AQ45)</f>
        <v>39</v>
      </c>
    </row>
    <row r="47" customFormat="false" ht="15" hidden="false" customHeight="false" outlineLevel="0" collapsed="false">
      <c r="A47" s="7" t="s">
        <v>0</v>
      </c>
      <c r="B47" s="8" t="s">
        <v>1</v>
      </c>
      <c r="C47" s="8"/>
      <c r="D47" s="8"/>
      <c r="E47" s="8"/>
      <c r="F47" s="8"/>
      <c r="G47" s="8"/>
      <c r="H47" s="8"/>
      <c r="I47" s="8"/>
      <c r="J47" s="9" t="s">
        <v>2</v>
      </c>
      <c r="K47" s="9"/>
      <c r="L47" s="9"/>
      <c r="M47" s="9"/>
      <c r="N47" s="9"/>
      <c r="O47" s="9"/>
      <c r="P47" s="9"/>
      <c r="Q47" s="9"/>
      <c r="R47" s="10" t="s">
        <v>3</v>
      </c>
      <c r="S47" s="10"/>
      <c r="T47" s="10"/>
      <c r="U47" s="10"/>
      <c r="V47" s="10"/>
      <c r="W47" s="10"/>
      <c r="X47" s="10"/>
      <c r="Y47" s="10"/>
      <c r="Z47" s="11" t="s">
        <v>4</v>
      </c>
      <c r="AA47" s="11"/>
      <c r="AB47" s="11"/>
      <c r="AC47" s="11"/>
      <c r="AD47" s="11"/>
      <c r="AE47" s="11"/>
      <c r="AF47" s="11"/>
      <c r="AG47" s="11"/>
      <c r="AH47" s="12" t="s">
        <v>5</v>
      </c>
      <c r="AI47" s="12"/>
      <c r="AJ47" s="12"/>
      <c r="AK47" s="12"/>
      <c r="AL47" s="12"/>
      <c r="AM47" s="12"/>
      <c r="AN47" s="12"/>
      <c r="AO47" s="12"/>
    </row>
    <row r="48" customFormat="false" ht="15" hidden="false" customHeight="false" outlineLevel="0" collapsed="false">
      <c r="C48" s="137" t="n">
        <f aca="false">COUNTIF(C3:C45,$AS$3)</f>
        <v>1</v>
      </c>
      <c r="D48" s="138" t="n">
        <f aca="false">COUNTIF(D3:D45,$AS$3)</f>
        <v>2</v>
      </c>
      <c r="E48" s="138" t="n">
        <f aca="false">COUNTIF(E3:E45,$AS$3)</f>
        <v>1</v>
      </c>
      <c r="F48" s="138" t="n">
        <f aca="false">COUNTIF(F3:F45,$AS$3)</f>
        <v>1</v>
      </c>
      <c r="G48" s="138" t="n">
        <f aca="false">COUNTIF(G3:G45,$AS$3)</f>
        <v>1</v>
      </c>
      <c r="H48" s="138" t="n">
        <f aca="false">COUNTIF(H3:H45,$AS$3)</f>
        <v>0</v>
      </c>
      <c r="I48" s="139" t="n">
        <f aca="false">COUNTIF(I3:I45,$AS$3)</f>
        <v>0</v>
      </c>
      <c r="J48" s="137" t="n">
        <f aca="false">COUNTIF(J3:J45,$AS$3)</f>
        <v>1</v>
      </c>
      <c r="K48" s="138" t="n">
        <f aca="false">COUNTIF(K3:K45,$AS$3)</f>
        <v>1</v>
      </c>
      <c r="L48" s="138" t="n">
        <f aca="false">COUNTIF(L3:L45,$AS$3)</f>
        <v>1</v>
      </c>
      <c r="M48" s="138" t="n">
        <f aca="false">COUNTIF(M3:M45,$AS$3)</f>
        <v>1</v>
      </c>
      <c r="N48" s="138" t="n">
        <f aca="false">COUNTIF(N3:N45,$AS$3)</f>
        <v>1</v>
      </c>
      <c r="O48" s="138" t="n">
        <f aca="false">COUNTIF(O3:O45,$AS$3)</f>
        <v>1</v>
      </c>
      <c r="P48" s="138" t="n">
        <f aca="false">COUNTIF(P3:P45,$AS$3)</f>
        <v>1</v>
      </c>
      <c r="Q48" s="139" t="n">
        <f aca="false">COUNTIF(Q3:Q45,$AS$3)</f>
        <v>0</v>
      </c>
      <c r="R48" s="138" t="n">
        <f aca="false">COUNTIF(R3:R45,$AS$3)</f>
        <v>1</v>
      </c>
      <c r="S48" s="138" t="n">
        <f aca="false">COUNTIF(S3:S45,$AS$3)</f>
        <v>1</v>
      </c>
      <c r="T48" s="138" t="n">
        <f aca="false">COUNTIF(T3:T45,$AS$3)</f>
        <v>1</v>
      </c>
      <c r="U48" s="138" t="n">
        <f aca="false">COUNTIF(U3:U45,$AS$3)</f>
        <v>1</v>
      </c>
      <c r="V48" s="138" t="n">
        <f aca="false">COUNTIF(V3:V45,$AS$3)</f>
        <v>1</v>
      </c>
      <c r="W48" s="138" t="n">
        <f aca="false">COUNTIF(W3:W45,$AS$3)</f>
        <v>1</v>
      </c>
      <c r="X48" s="138" t="n">
        <f aca="false">COUNTIF(X3:X45,$AS$3)</f>
        <v>1</v>
      </c>
      <c r="Y48" s="138" t="n">
        <f aca="false">COUNTIF(Y3:Y45,$AS$3)</f>
        <v>0</v>
      </c>
      <c r="Z48" s="137" t="n">
        <f aca="false">COUNTIF(Z3:Z45,$AS$3)</f>
        <v>2</v>
      </c>
      <c r="AA48" s="138" t="n">
        <f aca="false">COUNTIF(AA3:AA45,$AS$3)</f>
        <v>2</v>
      </c>
      <c r="AB48" s="138" t="n">
        <f aca="false">COUNTIF(AB3:AB45,$AS$3)</f>
        <v>2</v>
      </c>
      <c r="AC48" s="138" t="n">
        <f aca="false">COUNTIF(AC3:AC45,$AS$3)</f>
        <v>2</v>
      </c>
      <c r="AD48" s="138" t="n">
        <f aca="false">COUNTIF(AD3:AD45,$AS$3)</f>
        <v>1</v>
      </c>
      <c r="AE48" s="138" t="n">
        <f aca="false">COUNTIF(AE3:AE45,$AS$3)</f>
        <v>2</v>
      </c>
      <c r="AF48" s="138" t="n">
        <f aca="false">COUNTIF(AF3:AF45,$AS$3)</f>
        <v>0</v>
      </c>
      <c r="AG48" s="139" t="n">
        <f aca="false">COUNTIF(AG3:AG45,$AS$3)</f>
        <v>0</v>
      </c>
      <c r="AH48" s="138" t="n">
        <f aca="false">COUNTIF(AH3:AH45,$AS$3)</f>
        <v>1</v>
      </c>
      <c r="AI48" s="138" t="n">
        <f aca="false">COUNTIF(AI3:AI45,$AS$3)</f>
        <v>1</v>
      </c>
      <c r="AJ48" s="138" t="n">
        <f aca="false">COUNTIF(AJ3:AJ45,$AS$3)</f>
        <v>1</v>
      </c>
      <c r="AK48" s="138" t="n">
        <f aca="false">COUNTIF(AK3:AK45,$AS$3)</f>
        <v>1</v>
      </c>
      <c r="AL48" s="138" t="n">
        <f aca="false">COUNTIF(AL3:AL45,$AS$3)</f>
        <v>1</v>
      </c>
      <c r="AM48" s="138" t="n">
        <f aca="false">COUNTIF(AM3:AM45,$AS$3)</f>
        <v>2</v>
      </c>
      <c r="AN48" s="138" t="n">
        <f aca="false">COUNTIF(AN3:AN45,$AS$3)</f>
        <v>1</v>
      </c>
      <c r="AO48" s="139" t="n">
        <f aca="false">COUNTIF(AO3:AO45,$AS$3)</f>
        <v>0</v>
      </c>
      <c r="AQ48" s="140" t="s">
        <v>81</v>
      </c>
      <c r="AR48" s="141"/>
      <c r="AS48" s="142"/>
    </row>
    <row r="49" customFormat="false" ht="15" hidden="false" customHeight="false" outlineLevel="0" collapsed="false">
      <c r="A49" s="143" t="s">
        <v>82</v>
      </c>
      <c r="B49" s="143"/>
      <c r="C49" s="143"/>
      <c r="D49" s="144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4"/>
      <c r="AA49" s="144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</row>
    <row r="50" s="1" customFormat="true" ht="15" hidden="false" customHeight="false" outlineLevel="0" collapsed="false">
      <c r="Z50" s="145"/>
      <c r="AA50" s="145"/>
      <c r="AR50" s="6"/>
    </row>
  </sheetData>
  <mergeCells count="13">
    <mergeCell ref="B1:I1"/>
    <mergeCell ref="J1:Q1"/>
    <mergeCell ref="R1:Y1"/>
    <mergeCell ref="Z1:AG1"/>
    <mergeCell ref="AH1:AO1"/>
    <mergeCell ref="AP1:AP2"/>
    <mergeCell ref="AQ1:AQ2"/>
    <mergeCell ref="AT7:AY7"/>
    <mergeCell ref="B47:I47"/>
    <mergeCell ref="J47:Q47"/>
    <mergeCell ref="R47:Y47"/>
    <mergeCell ref="Z47:AG47"/>
    <mergeCell ref="AH47:AO47"/>
  </mergeCells>
  <conditionalFormatting sqref="G10">
    <cfRule type="cellIs" priority="2" operator="equal" aboveAverage="0" equalAverage="0" bottom="0" percent="0" rank="0" text="" dxfId="0">
      <formula>$AS$3</formula>
    </cfRule>
  </conditionalFormatting>
  <conditionalFormatting sqref="K34">
    <cfRule type="cellIs" priority="3" operator="equal" aboveAverage="0" equalAverage="0" bottom="0" percent="0" rank="0" text="" dxfId="1">
      <formula>$AS$3</formula>
    </cfRule>
  </conditionalFormatting>
  <conditionalFormatting sqref="I10">
    <cfRule type="cellIs" priority="4" operator="equal" aboveAverage="0" equalAverage="0" bottom="0" percent="0" rank="0" text="" dxfId="2">
      <formula>$AS$3</formula>
    </cfRule>
  </conditionalFormatting>
  <conditionalFormatting sqref="I10">
    <cfRule type="cellIs" priority="5" operator="equal" aboveAverage="0" equalAverage="0" bottom="0" percent="0" rank="0" text="" dxfId="3">
      <formula>$AS$3</formula>
    </cfRule>
  </conditionalFormatting>
  <conditionalFormatting sqref="H10">
    <cfRule type="cellIs" priority="6" operator="equal" aboveAverage="0" equalAverage="0" bottom="0" percent="0" rank="0" text="" dxfId="4">
      <formula>$AS$3</formula>
    </cfRule>
  </conditionalFormatting>
  <conditionalFormatting sqref="H10">
    <cfRule type="cellIs" priority="7" operator="equal" aboveAverage="0" equalAverage="0" bottom="0" percent="0" rank="0" text="" dxfId="5">
      <formula>$AS$3</formula>
    </cfRule>
  </conditionalFormatting>
  <conditionalFormatting sqref="E10">
    <cfRule type="cellIs" priority="8" operator="equal" aboveAverage="0" equalAverage="0" bottom="0" percent="0" rank="0" text="" dxfId="6">
      <formula>$AS$3</formula>
    </cfRule>
  </conditionalFormatting>
  <conditionalFormatting sqref="E10">
    <cfRule type="cellIs" priority="9" operator="equal" aboveAverage="0" equalAverage="0" bottom="0" percent="0" rank="0" text="" dxfId="7">
      <formula>$AS$3</formula>
    </cfRule>
  </conditionalFormatting>
  <conditionalFormatting sqref="F10">
    <cfRule type="cellIs" priority="10" operator="equal" aboveAverage="0" equalAverage="0" bottom="0" percent="0" rank="0" text="" dxfId="8">
      <formula>$AS$3</formula>
    </cfRule>
  </conditionalFormatting>
  <conditionalFormatting sqref="F10">
    <cfRule type="cellIs" priority="11" operator="equal" aboveAverage="0" equalAverage="0" bottom="0" percent="0" rank="0" text="" dxfId="9">
      <formula>$AS$3</formula>
    </cfRule>
  </conditionalFormatting>
  <conditionalFormatting sqref="D10">
    <cfRule type="cellIs" priority="12" operator="equal" aboveAverage="0" equalAverage="0" bottom="0" percent="0" rank="0" text="" dxfId="10">
      <formula>$AS$3</formula>
    </cfRule>
  </conditionalFormatting>
  <conditionalFormatting sqref="D10">
    <cfRule type="cellIs" priority="13" operator="equal" aboveAverage="0" equalAverage="0" bottom="0" percent="0" rank="0" text="" dxfId="11">
      <formula>$AS$3</formula>
    </cfRule>
  </conditionalFormatting>
  <conditionalFormatting sqref="W6">
    <cfRule type="cellIs" priority="14" operator="equal" aboveAverage="0" equalAverage="0" bottom="0" percent="0" rank="0" text="" dxfId="12">
      <formula>$AS$3</formula>
    </cfRule>
  </conditionalFormatting>
  <conditionalFormatting sqref="W6">
    <cfRule type="cellIs" priority="15" operator="equal" aboveAverage="0" equalAverage="0" bottom="0" percent="0" rank="0" text="" dxfId="13">
      <formula>$AS$3</formula>
    </cfRule>
  </conditionalFormatting>
  <conditionalFormatting sqref="H6">
    <cfRule type="cellIs" priority="16" operator="equal" aboveAverage="0" equalAverage="0" bottom="0" percent="0" rank="0" text="" dxfId="14">
      <formula>$AS$3</formula>
    </cfRule>
  </conditionalFormatting>
  <conditionalFormatting sqref="H6">
    <cfRule type="cellIs" priority="17" operator="equal" aboveAverage="0" equalAverage="0" bottom="0" percent="0" rank="0" text="" dxfId="15">
      <formula>$AS$3</formula>
    </cfRule>
  </conditionalFormatting>
  <conditionalFormatting sqref="V10">
    <cfRule type="cellIs" priority="18" operator="equal" aboveAverage="0" equalAverage="0" bottom="0" percent="0" rank="0" text="" dxfId="16">
      <formula>$AS$3</formula>
    </cfRule>
  </conditionalFormatting>
  <conditionalFormatting sqref="V10">
    <cfRule type="cellIs" priority="19" operator="equal" aboveAverage="0" equalAverage="0" bottom="0" percent="0" rank="0" text="" dxfId="17">
      <formula>$AS$3</formula>
    </cfRule>
  </conditionalFormatting>
  <conditionalFormatting sqref="U10">
    <cfRule type="cellIs" priority="20" operator="equal" aboveAverage="0" equalAverage="0" bottom="0" percent="0" rank="0" text="" dxfId="18">
      <formula>$AS$3</formula>
    </cfRule>
  </conditionalFormatting>
  <conditionalFormatting sqref="U10">
    <cfRule type="cellIs" priority="21" operator="equal" aboveAverage="0" equalAverage="0" bottom="0" percent="0" rank="0" text="" dxfId="19">
      <formula>$AS$3</formula>
    </cfRule>
  </conditionalFormatting>
  <conditionalFormatting sqref="S10:T10">
    <cfRule type="cellIs" priority="22" operator="equal" aboveAverage="0" equalAverage="0" bottom="0" percent="0" rank="0" text="" dxfId="20">
      <formula>$AS$3</formula>
    </cfRule>
  </conditionalFormatting>
  <conditionalFormatting sqref="X6">
    <cfRule type="cellIs" priority="23" operator="equal" aboveAverage="0" equalAverage="0" bottom="0" percent="0" rank="0" text="" dxfId="21">
      <formula>$AS$3</formula>
    </cfRule>
  </conditionalFormatting>
  <conditionalFormatting sqref="X6">
    <cfRule type="cellIs" priority="24" operator="equal" aboveAverage="0" equalAverage="0" bottom="0" percent="0" rank="0" text="" dxfId="22">
      <formula>$AS$3</formula>
    </cfRule>
  </conditionalFormatting>
  <conditionalFormatting sqref="V6">
    <cfRule type="cellIs" priority="25" operator="equal" aboveAverage="0" equalAverage="0" bottom="0" percent="0" rank="0" text="" dxfId="23">
      <formula>$AS$3</formula>
    </cfRule>
  </conditionalFormatting>
  <conditionalFormatting sqref="V6">
    <cfRule type="cellIs" priority="26" operator="equal" aboveAverage="0" equalAverage="0" bottom="0" percent="0" rank="0" text="" dxfId="24">
      <formula>$AS$3</formula>
    </cfRule>
  </conditionalFormatting>
  <conditionalFormatting sqref="V6">
    <cfRule type="cellIs" priority="27" operator="equal" aboveAverage="0" equalAverage="0" bottom="0" percent="0" rank="0" text="" dxfId="25">
      <formula>$AS$3</formula>
    </cfRule>
  </conditionalFormatting>
  <conditionalFormatting sqref="V6">
    <cfRule type="cellIs" priority="28" operator="equal" aboveAverage="0" equalAverage="0" bottom="0" percent="0" rank="0" text="" dxfId="26">
      <formula>$AS$3</formula>
    </cfRule>
  </conditionalFormatting>
  <conditionalFormatting sqref="AF27">
    <cfRule type="cellIs" priority="29" operator="equal" aboveAverage="0" equalAverage="0" bottom="0" percent="0" rank="0" text="" dxfId="27">
      <formula>$AS$3</formula>
    </cfRule>
  </conditionalFormatting>
  <conditionalFormatting sqref="AF27">
    <cfRule type="cellIs" priority="30" operator="equal" aboveAverage="0" equalAverage="0" bottom="0" percent="0" rank="0" text="" dxfId="28">
      <formula>$AS$3</formula>
    </cfRule>
  </conditionalFormatting>
  <conditionalFormatting sqref="AF27">
    <cfRule type="cellIs" priority="31" operator="equal" aboveAverage="0" equalAverage="0" bottom="0" percent="0" rank="0" text="" dxfId="29">
      <formula>$AS$3</formula>
    </cfRule>
  </conditionalFormatting>
  <conditionalFormatting sqref="AF27">
    <cfRule type="cellIs" priority="32" operator="equal" aboveAverage="0" equalAverage="0" bottom="0" percent="0" rank="0" text="" dxfId="30">
      <formula>$AS$3</formula>
    </cfRule>
  </conditionalFormatting>
  <conditionalFormatting sqref="X27">
    <cfRule type="cellIs" priority="33" operator="equal" aboveAverage="0" equalAverage="0" bottom="0" percent="0" rank="0" text="" dxfId="31">
      <formula>$AS$3</formula>
    </cfRule>
  </conditionalFormatting>
  <conditionalFormatting sqref="X27">
    <cfRule type="cellIs" priority="34" operator="equal" aboveAverage="0" equalAverage="0" bottom="0" percent="0" rank="0" text="" dxfId="32">
      <formula>$AS$3</formula>
    </cfRule>
  </conditionalFormatting>
  <conditionalFormatting sqref="X27">
    <cfRule type="cellIs" priority="35" operator="equal" aboveAverage="0" equalAverage="0" bottom="0" percent="0" rank="0" text="" dxfId="33">
      <formula>$AS$3</formula>
    </cfRule>
  </conditionalFormatting>
  <conditionalFormatting sqref="X27">
    <cfRule type="cellIs" priority="36" operator="equal" aboveAverage="0" equalAverage="0" bottom="0" percent="0" rank="0" text="" dxfId="34">
      <formula>$AS$3</formula>
    </cfRule>
  </conditionalFormatting>
  <conditionalFormatting sqref="U27">
    <cfRule type="cellIs" priority="37" operator="equal" aboveAverage="0" equalAverage="0" bottom="0" percent="0" rank="0" text="" dxfId="35">
      <formula>$AS$3</formula>
    </cfRule>
  </conditionalFormatting>
  <conditionalFormatting sqref="U27">
    <cfRule type="cellIs" priority="38" operator="equal" aboveAverage="0" equalAverage="0" bottom="0" percent="0" rank="0" text="" dxfId="36">
      <formula>$AS$3</formula>
    </cfRule>
  </conditionalFormatting>
  <conditionalFormatting sqref="U27">
    <cfRule type="cellIs" priority="39" operator="equal" aboveAverage="0" equalAverage="0" bottom="0" percent="0" rank="0" text="" dxfId="37">
      <formula>$AS$3</formula>
    </cfRule>
  </conditionalFormatting>
  <conditionalFormatting sqref="U27">
    <cfRule type="cellIs" priority="40" operator="equal" aboveAverage="0" equalAverage="0" bottom="0" percent="0" rank="0" text="" dxfId="38">
      <formula>$AS$3</formula>
    </cfRule>
  </conditionalFormatting>
  <conditionalFormatting sqref="U27">
    <cfRule type="cellIs" priority="41" operator="equal" aboveAverage="0" equalAverage="0" bottom="0" percent="0" rank="0" text="" dxfId="39">
      <formula>$AS$3</formula>
    </cfRule>
  </conditionalFormatting>
  <conditionalFormatting sqref="U27">
    <cfRule type="cellIs" priority="42" operator="equal" aboveAverage="0" equalAverage="0" bottom="0" percent="0" rank="0" text="" dxfId="40">
      <formula>$AS$3</formula>
    </cfRule>
  </conditionalFormatting>
  <conditionalFormatting sqref="U27">
    <cfRule type="cellIs" priority="43" operator="equal" aboveAverage="0" equalAverage="0" bottom="0" percent="0" rank="0" text="" dxfId="41">
      <formula>$AS$3</formula>
    </cfRule>
  </conditionalFormatting>
  <conditionalFormatting sqref="U27">
    <cfRule type="cellIs" priority="44" operator="equal" aboveAverage="0" equalAverage="0" bottom="0" percent="0" rank="0" text="" dxfId="42">
      <formula>$AS$3</formula>
    </cfRule>
  </conditionalFormatting>
  <conditionalFormatting sqref="U27">
    <cfRule type="cellIs" priority="45" operator="equal" aboveAverage="0" equalAverage="0" bottom="0" percent="0" rank="0" text="" dxfId="43">
      <formula>$AS$3</formula>
    </cfRule>
  </conditionalFormatting>
  <conditionalFormatting sqref="U27">
    <cfRule type="cellIs" priority="46" operator="equal" aboveAverage="0" equalAverage="0" bottom="0" percent="0" rank="0" text="" dxfId="44">
      <formula>$AS$3</formula>
    </cfRule>
  </conditionalFormatting>
  <conditionalFormatting sqref="U27">
    <cfRule type="cellIs" priority="47" operator="equal" aboveAverage="0" equalAverage="0" bottom="0" percent="0" rank="0" text="" dxfId="45">
      <formula>$AS$3</formula>
    </cfRule>
  </conditionalFormatting>
  <conditionalFormatting sqref="U27">
    <cfRule type="cellIs" priority="48" operator="equal" aboveAverage="0" equalAverage="0" bottom="0" percent="0" rank="0" text="" dxfId="46">
      <formula>$AS$3</formula>
    </cfRule>
  </conditionalFormatting>
  <conditionalFormatting sqref="U27">
    <cfRule type="cellIs" priority="49" operator="equal" aboveAverage="0" equalAverage="0" bottom="0" percent="0" rank="0" text="" dxfId="47">
      <formula>$AS$3</formula>
    </cfRule>
  </conditionalFormatting>
  <conditionalFormatting sqref="U27">
    <cfRule type="cellIs" priority="50" operator="equal" aboveAverage="0" equalAverage="0" bottom="0" percent="0" rank="0" text="" dxfId="48">
      <formula>$AS$3</formula>
    </cfRule>
  </conditionalFormatting>
  <conditionalFormatting sqref="U27">
    <cfRule type="cellIs" priority="51" operator="equal" aboveAverage="0" equalAverage="0" bottom="0" percent="0" rank="0" text="" dxfId="49">
      <formula>$AS$3</formula>
    </cfRule>
  </conditionalFormatting>
  <conditionalFormatting sqref="U27">
    <cfRule type="cellIs" priority="52" operator="equal" aboveAverage="0" equalAverage="0" bottom="0" percent="0" rank="0" text="" dxfId="50">
      <formula>$AS$3</formula>
    </cfRule>
  </conditionalFormatting>
  <conditionalFormatting sqref="U27">
    <cfRule type="cellIs" priority="53" operator="equal" aboveAverage="0" equalAverage="0" bottom="0" percent="0" rank="0" text="" dxfId="51">
      <formula>$AS$3</formula>
    </cfRule>
  </conditionalFormatting>
  <conditionalFormatting sqref="U27">
    <cfRule type="cellIs" priority="54" operator="equal" aboveAverage="0" equalAverage="0" bottom="0" percent="0" rank="0" text="" dxfId="52">
      <formula>$AS$3</formula>
    </cfRule>
  </conditionalFormatting>
  <conditionalFormatting sqref="U27">
    <cfRule type="cellIs" priority="55" operator="equal" aboveAverage="0" equalAverage="0" bottom="0" percent="0" rank="0" text="" dxfId="53">
      <formula>$AS$3</formula>
    </cfRule>
  </conditionalFormatting>
  <conditionalFormatting sqref="U27">
    <cfRule type="cellIs" priority="56" operator="equal" aboveAverage="0" equalAverage="0" bottom="0" percent="0" rank="0" text="" dxfId="54">
      <formula>$AS$3</formula>
    </cfRule>
  </conditionalFormatting>
  <conditionalFormatting sqref="U27">
    <cfRule type="cellIs" priority="57" operator="equal" aboveAverage="0" equalAverage="0" bottom="0" percent="0" rank="0" text="" dxfId="55">
      <formula>$AS$3</formula>
    </cfRule>
  </conditionalFormatting>
  <conditionalFormatting sqref="U27">
    <cfRule type="cellIs" priority="58" operator="equal" aboveAverage="0" equalAverage="0" bottom="0" percent="0" rank="0" text="" dxfId="56">
      <formula>$AS$3</formula>
    </cfRule>
  </conditionalFormatting>
  <conditionalFormatting sqref="U27">
    <cfRule type="cellIs" priority="59" operator="equal" aboveAverage="0" equalAverage="0" bottom="0" percent="0" rank="0" text="" dxfId="57">
      <formula>$AS$3</formula>
    </cfRule>
  </conditionalFormatting>
  <conditionalFormatting sqref="U27">
    <cfRule type="cellIs" priority="60" operator="equal" aboveAverage="0" equalAverage="0" bottom="0" percent="0" rank="0" text="" dxfId="58">
      <formula>$AS$3</formula>
    </cfRule>
  </conditionalFormatting>
  <conditionalFormatting sqref="U27">
    <cfRule type="cellIs" priority="61" operator="equal" aboveAverage="0" equalAverage="0" bottom="0" percent="0" rank="0" text="" dxfId="59">
      <formula>$AS$3</formula>
    </cfRule>
  </conditionalFormatting>
  <conditionalFormatting sqref="U27">
    <cfRule type="cellIs" priority="62" operator="equal" aboveAverage="0" equalAverage="0" bottom="0" percent="0" rank="0" text="" dxfId="60">
      <formula>$AS$3</formula>
    </cfRule>
  </conditionalFormatting>
  <conditionalFormatting sqref="U27">
    <cfRule type="cellIs" priority="63" operator="equal" aboveAverage="0" equalAverage="0" bottom="0" percent="0" rank="0" text="" dxfId="61">
      <formula>$AS$3</formula>
    </cfRule>
  </conditionalFormatting>
  <conditionalFormatting sqref="U27">
    <cfRule type="cellIs" priority="64" operator="equal" aboveAverage="0" equalAverage="0" bottom="0" percent="0" rank="0" text="" dxfId="62">
      <formula>$AS$3</formula>
    </cfRule>
  </conditionalFormatting>
  <conditionalFormatting sqref="U27">
    <cfRule type="cellIs" priority="65" operator="equal" aboveAverage="0" equalAverage="0" bottom="0" percent="0" rank="0" text="" dxfId="63">
      <formula>$AS$3</formula>
    </cfRule>
  </conditionalFormatting>
  <conditionalFormatting sqref="U27">
    <cfRule type="cellIs" priority="66" operator="equal" aboveAverage="0" equalAverage="0" bottom="0" percent="0" rank="0" text="" dxfId="64">
      <formula>$AS$3</formula>
    </cfRule>
  </conditionalFormatting>
  <conditionalFormatting sqref="U27">
    <cfRule type="cellIs" priority="67" operator="equal" aboveAverage="0" equalAverage="0" bottom="0" percent="0" rank="0" text="" dxfId="65">
      <formula>$AS$3</formula>
    </cfRule>
  </conditionalFormatting>
  <conditionalFormatting sqref="U27">
    <cfRule type="cellIs" priority="68" operator="equal" aboveAverage="0" equalAverage="0" bottom="0" percent="0" rank="0" text="" dxfId="66">
      <formula>$AS$3</formula>
    </cfRule>
  </conditionalFormatting>
  <conditionalFormatting sqref="Z27">
    <cfRule type="cellIs" priority="69" operator="equal" aboveAverage="0" equalAverage="0" bottom="0" percent="0" rank="0" text="" dxfId="67">
      <formula>$AS$3</formula>
    </cfRule>
  </conditionalFormatting>
  <conditionalFormatting sqref="Z27">
    <cfRule type="cellIs" priority="70" operator="equal" aboveAverage="0" equalAverage="0" bottom="0" percent="0" rank="0" text="" dxfId="68">
      <formula>$AS$3</formula>
    </cfRule>
  </conditionalFormatting>
  <conditionalFormatting sqref="Z27">
    <cfRule type="cellIs" priority="71" operator="equal" aboveAverage="0" equalAverage="0" bottom="0" percent="0" rank="0" text="" dxfId="69">
      <formula>$AS$3</formula>
    </cfRule>
  </conditionalFormatting>
  <conditionalFormatting sqref="Z27">
    <cfRule type="cellIs" priority="72" operator="equal" aboveAverage="0" equalAverage="0" bottom="0" percent="0" rank="0" text="" dxfId="70">
      <formula>$AS$3</formula>
    </cfRule>
  </conditionalFormatting>
  <conditionalFormatting sqref="Z27">
    <cfRule type="cellIs" priority="73" operator="equal" aboveAverage="0" equalAverage="0" bottom="0" percent="0" rank="0" text="" dxfId="71">
      <formula>$AS$3</formula>
    </cfRule>
  </conditionalFormatting>
  <conditionalFormatting sqref="Z27">
    <cfRule type="cellIs" priority="74" operator="equal" aboveAverage="0" equalAverage="0" bottom="0" percent="0" rank="0" text="" dxfId="72">
      <formula>$AS$3</formula>
    </cfRule>
  </conditionalFormatting>
  <conditionalFormatting sqref="Z27">
    <cfRule type="cellIs" priority="75" operator="equal" aboveAverage="0" equalAverage="0" bottom="0" percent="0" rank="0" text="" dxfId="73">
      <formula>$AS$3</formula>
    </cfRule>
  </conditionalFormatting>
  <conditionalFormatting sqref="Z27">
    <cfRule type="cellIs" priority="76" operator="equal" aboveAverage="0" equalAverage="0" bottom="0" percent="0" rank="0" text="" dxfId="74">
      <formula>$AS$3</formula>
    </cfRule>
  </conditionalFormatting>
  <conditionalFormatting sqref="Z27">
    <cfRule type="cellIs" priority="77" operator="equal" aboveAverage="0" equalAverage="0" bottom="0" percent="0" rank="0" text="" dxfId="75">
      <formula>$AS$3</formula>
    </cfRule>
  </conditionalFormatting>
  <conditionalFormatting sqref="Z27">
    <cfRule type="cellIs" priority="78" operator="equal" aboveAverage="0" equalAverage="0" bottom="0" percent="0" rank="0" text="" dxfId="76">
      <formula>$AS$3</formula>
    </cfRule>
  </conditionalFormatting>
  <conditionalFormatting sqref="Z27">
    <cfRule type="cellIs" priority="79" operator="equal" aboveAverage="0" equalAverage="0" bottom="0" percent="0" rank="0" text="" dxfId="77">
      <formula>$AS$3</formula>
    </cfRule>
  </conditionalFormatting>
  <conditionalFormatting sqref="Z27">
    <cfRule type="cellIs" priority="80" operator="equal" aboveAverage="0" equalAverage="0" bottom="0" percent="0" rank="0" text="" dxfId="78">
      <formula>$AS$3</formula>
    </cfRule>
  </conditionalFormatting>
  <conditionalFormatting sqref="Z27">
    <cfRule type="cellIs" priority="81" operator="equal" aboveAverage="0" equalAverage="0" bottom="0" percent="0" rank="0" text="" dxfId="79">
      <formula>$AS$3</formula>
    </cfRule>
  </conditionalFormatting>
  <conditionalFormatting sqref="Z27">
    <cfRule type="cellIs" priority="82" operator="equal" aboveAverage="0" equalAverage="0" bottom="0" percent="0" rank="0" text="" dxfId="80">
      <formula>$AS$3</formula>
    </cfRule>
  </conditionalFormatting>
  <conditionalFormatting sqref="Z27">
    <cfRule type="cellIs" priority="83" operator="equal" aboveAverage="0" equalAverage="0" bottom="0" percent="0" rank="0" text="" dxfId="81">
      <formula>$AS$3</formula>
    </cfRule>
  </conditionalFormatting>
  <conditionalFormatting sqref="Z27">
    <cfRule type="cellIs" priority="84" operator="equal" aboveAverage="0" equalAverage="0" bottom="0" percent="0" rank="0" text="" dxfId="82">
      <formula>$AS$3</formula>
    </cfRule>
  </conditionalFormatting>
  <conditionalFormatting sqref="Z27">
    <cfRule type="cellIs" priority="85" operator="equal" aboveAverage="0" equalAverage="0" bottom="0" percent="0" rank="0" text="" dxfId="83">
      <formula>$AS$3</formula>
    </cfRule>
  </conditionalFormatting>
  <conditionalFormatting sqref="Z27">
    <cfRule type="cellIs" priority="86" operator="equal" aboveAverage="0" equalAverage="0" bottom="0" percent="0" rank="0" text="" dxfId="84">
      <formula>$AS$3</formula>
    </cfRule>
  </conditionalFormatting>
  <conditionalFormatting sqref="Z27">
    <cfRule type="cellIs" priority="87" operator="equal" aboveAverage="0" equalAverage="0" bottom="0" percent="0" rank="0" text="" dxfId="85">
      <formula>$AS$3</formula>
    </cfRule>
  </conditionalFormatting>
  <conditionalFormatting sqref="Z27">
    <cfRule type="cellIs" priority="88" operator="equal" aboveAverage="0" equalAverage="0" bottom="0" percent="0" rank="0" text="" dxfId="86">
      <formula>$AS$3</formula>
    </cfRule>
  </conditionalFormatting>
  <conditionalFormatting sqref="Z27">
    <cfRule type="cellIs" priority="89" operator="equal" aboveAverage="0" equalAverage="0" bottom="0" percent="0" rank="0" text="" dxfId="87">
      <formula>$AS$3</formula>
    </cfRule>
  </conditionalFormatting>
  <conditionalFormatting sqref="Z27">
    <cfRule type="cellIs" priority="90" operator="equal" aboveAverage="0" equalAverage="0" bottom="0" percent="0" rank="0" text="" dxfId="88">
      <formula>$AS$3</formula>
    </cfRule>
  </conditionalFormatting>
  <conditionalFormatting sqref="Z27">
    <cfRule type="cellIs" priority="91" operator="equal" aboveAverage="0" equalAverage="0" bottom="0" percent="0" rank="0" text="" dxfId="89">
      <formula>$AS$3</formula>
    </cfRule>
  </conditionalFormatting>
  <conditionalFormatting sqref="Z27">
    <cfRule type="cellIs" priority="92" operator="equal" aboveAverage="0" equalAverage="0" bottom="0" percent="0" rank="0" text="" dxfId="90">
      <formula>$AS$3</formula>
    </cfRule>
  </conditionalFormatting>
  <conditionalFormatting sqref="Z27">
    <cfRule type="cellIs" priority="93" operator="equal" aboveAverage="0" equalAverage="0" bottom="0" percent="0" rank="0" text="" dxfId="91">
      <formula>$AS$3</formula>
    </cfRule>
  </conditionalFormatting>
  <conditionalFormatting sqref="Z27">
    <cfRule type="cellIs" priority="94" operator="equal" aboveAverage="0" equalAverage="0" bottom="0" percent="0" rank="0" text="" dxfId="92">
      <formula>$AS$3</formula>
    </cfRule>
  </conditionalFormatting>
  <conditionalFormatting sqref="Z27">
    <cfRule type="cellIs" priority="95" operator="equal" aboveAverage="0" equalAverage="0" bottom="0" percent="0" rank="0" text="" dxfId="93">
      <formula>$AS$3</formula>
    </cfRule>
  </conditionalFormatting>
  <conditionalFormatting sqref="Z27">
    <cfRule type="cellIs" priority="96" operator="equal" aboveAverage="0" equalAverage="0" bottom="0" percent="0" rank="0" text="" dxfId="94">
      <formula>$AS$3</formula>
    </cfRule>
  </conditionalFormatting>
  <conditionalFormatting sqref="Z27">
    <cfRule type="cellIs" priority="97" operator="equal" aboveAverage="0" equalAverage="0" bottom="0" percent="0" rank="0" text="" dxfId="95">
      <formula>$AS$3</formula>
    </cfRule>
  </conditionalFormatting>
  <conditionalFormatting sqref="Z27">
    <cfRule type="cellIs" priority="98" operator="equal" aboveAverage="0" equalAverage="0" bottom="0" percent="0" rank="0" text="" dxfId="96">
      <formula>$AS$3</formula>
    </cfRule>
  </conditionalFormatting>
  <conditionalFormatting sqref="Z27">
    <cfRule type="cellIs" priority="99" operator="equal" aboveAverage="0" equalAverage="0" bottom="0" percent="0" rank="0" text="" dxfId="97">
      <formula>$AS$3</formula>
    </cfRule>
  </conditionalFormatting>
  <conditionalFormatting sqref="Z27">
    <cfRule type="cellIs" priority="100" operator="equal" aboveAverage="0" equalAverage="0" bottom="0" percent="0" rank="0" text="" dxfId="98">
      <formula>$AS$3</formula>
    </cfRule>
  </conditionalFormatting>
  <conditionalFormatting sqref="AN27">
    <cfRule type="cellIs" priority="101" operator="equal" aboveAverage="0" equalAverage="0" bottom="0" percent="0" rank="0" text="" dxfId="99">
      <formula>$AS$3</formula>
    </cfRule>
  </conditionalFormatting>
  <conditionalFormatting sqref="AN27">
    <cfRule type="cellIs" priority="102" operator="equal" aboveAverage="0" equalAverage="0" bottom="0" percent="0" rank="0" text="" dxfId="100">
      <formula>$AS$3</formula>
    </cfRule>
  </conditionalFormatting>
  <conditionalFormatting sqref="AN27">
    <cfRule type="cellIs" priority="103" operator="equal" aboveAverage="0" equalAverage="0" bottom="0" percent="0" rank="0" text="" dxfId="101">
      <formula>$AS$3</formula>
    </cfRule>
  </conditionalFormatting>
  <conditionalFormatting sqref="AN27">
    <cfRule type="cellIs" priority="104" operator="equal" aboveAverage="0" equalAverage="0" bottom="0" percent="0" rank="0" text="" dxfId="102">
      <formula>$AS$3</formula>
    </cfRule>
  </conditionalFormatting>
  <conditionalFormatting sqref="AN27">
    <cfRule type="cellIs" priority="105" operator="equal" aboveAverage="0" equalAverage="0" bottom="0" percent="0" rank="0" text="" dxfId="103">
      <formula>$AS$3</formula>
    </cfRule>
  </conditionalFormatting>
  <conditionalFormatting sqref="AN27">
    <cfRule type="cellIs" priority="106" operator="equal" aboveAverage="0" equalAverage="0" bottom="0" percent="0" rank="0" text="" dxfId="104">
      <formula>$AS$3</formula>
    </cfRule>
  </conditionalFormatting>
  <conditionalFormatting sqref="AN27">
    <cfRule type="cellIs" priority="107" operator="equal" aboveAverage="0" equalAverage="0" bottom="0" percent="0" rank="0" text="" dxfId="105">
      <formula>$AS$3</formula>
    </cfRule>
  </conditionalFormatting>
  <conditionalFormatting sqref="AN27">
    <cfRule type="cellIs" priority="108" operator="equal" aboveAverage="0" equalAverage="0" bottom="0" percent="0" rank="0" text="" dxfId="106">
      <formula>$AS$3</formula>
    </cfRule>
  </conditionalFormatting>
  <conditionalFormatting sqref="AN27">
    <cfRule type="cellIs" priority="109" operator="equal" aboveAverage="0" equalAverage="0" bottom="0" percent="0" rank="0" text="" dxfId="107">
      <formula>$AS$3</formula>
    </cfRule>
  </conditionalFormatting>
  <conditionalFormatting sqref="AN27">
    <cfRule type="cellIs" priority="110" operator="equal" aboveAverage="0" equalAverage="0" bottom="0" percent="0" rank="0" text="" dxfId="108">
      <formula>$AS$3</formula>
    </cfRule>
  </conditionalFormatting>
  <conditionalFormatting sqref="AN27">
    <cfRule type="cellIs" priority="111" operator="equal" aboveAverage="0" equalAverage="0" bottom="0" percent="0" rank="0" text="" dxfId="109">
      <formula>$AS$3</formula>
    </cfRule>
  </conditionalFormatting>
  <conditionalFormatting sqref="AN27">
    <cfRule type="cellIs" priority="112" operator="equal" aboveAverage="0" equalAverage="0" bottom="0" percent="0" rank="0" text="" dxfId="110">
      <formula>$AS$3</formula>
    </cfRule>
  </conditionalFormatting>
  <conditionalFormatting sqref="AN27">
    <cfRule type="cellIs" priority="113" operator="equal" aboveAverage="0" equalAverage="0" bottom="0" percent="0" rank="0" text="" dxfId="111">
      <formula>$AS$3</formula>
    </cfRule>
  </conditionalFormatting>
  <conditionalFormatting sqref="AN27">
    <cfRule type="cellIs" priority="114" operator="equal" aboveAverage="0" equalAverage="0" bottom="0" percent="0" rank="0" text="" dxfId="112">
      <formula>$AS$3</formula>
    </cfRule>
  </conditionalFormatting>
  <conditionalFormatting sqref="AN27">
    <cfRule type="cellIs" priority="115" operator="equal" aboveAverage="0" equalAverage="0" bottom="0" percent="0" rank="0" text="" dxfId="113">
      <formula>$AS$3</formula>
    </cfRule>
  </conditionalFormatting>
  <conditionalFormatting sqref="AN27">
    <cfRule type="cellIs" priority="116" operator="equal" aboveAverage="0" equalAverage="0" bottom="0" percent="0" rank="0" text="" dxfId="114">
      <formula>$AS$3</formula>
    </cfRule>
  </conditionalFormatting>
  <conditionalFormatting sqref="AN27">
    <cfRule type="cellIs" priority="117" operator="equal" aboveAverage="0" equalAverage="0" bottom="0" percent="0" rank="0" text="" dxfId="115">
      <formula>$AS$3</formula>
    </cfRule>
  </conditionalFormatting>
  <conditionalFormatting sqref="AN27">
    <cfRule type="cellIs" priority="118" operator="equal" aboveAverage="0" equalAverage="0" bottom="0" percent="0" rank="0" text="" dxfId="116">
      <formula>$AS$3</formula>
    </cfRule>
  </conditionalFormatting>
  <conditionalFormatting sqref="AN27">
    <cfRule type="cellIs" priority="119" operator="equal" aboveAverage="0" equalAverage="0" bottom="0" percent="0" rank="0" text="" dxfId="117">
      <formula>$AS$3</formula>
    </cfRule>
  </conditionalFormatting>
  <conditionalFormatting sqref="AN27">
    <cfRule type="cellIs" priority="120" operator="equal" aboveAverage="0" equalAverage="0" bottom="0" percent="0" rank="0" text="" dxfId="118">
      <formula>$AS$3</formula>
    </cfRule>
  </conditionalFormatting>
  <conditionalFormatting sqref="AN27">
    <cfRule type="cellIs" priority="121" operator="equal" aboveAverage="0" equalAverage="0" bottom="0" percent="0" rank="0" text="" dxfId="119">
      <formula>$AS$3</formula>
    </cfRule>
  </conditionalFormatting>
  <conditionalFormatting sqref="AN27">
    <cfRule type="cellIs" priority="122" operator="equal" aboveAverage="0" equalAverage="0" bottom="0" percent="0" rank="0" text="" dxfId="120">
      <formula>$AS$3</formula>
    </cfRule>
  </conditionalFormatting>
  <conditionalFormatting sqref="AN27">
    <cfRule type="cellIs" priority="123" operator="equal" aboveAverage="0" equalAverage="0" bottom="0" percent="0" rank="0" text="" dxfId="121">
      <formula>$AS$3</formula>
    </cfRule>
  </conditionalFormatting>
  <conditionalFormatting sqref="AN27">
    <cfRule type="cellIs" priority="124" operator="equal" aboveAverage="0" equalAverage="0" bottom="0" percent="0" rank="0" text="" dxfId="122">
      <formula>$AS$3</formula>
    </cfRule>
  </conditionalFormatting>
  <conditionalFormatting sqref="AN27">
    <cfRule type="cellIs" priority="125" operator="equal" aboveAverage="0" equalAverage="0" bottom="0" percent="0" rank="0" text="" dxfId="123">
      <formula>$AS$3</formula>
    </cfRule>
  </conditionalFormatting>
  <conditionalFormatting sqref="AN27">
    <cfRule type="cellIs" priority="126" operator="equal" aboveAverage="0" equalAverage="0" bottom="0" percent="0" rank="0" text="" dxfId="124">
      <formula>$AS$3</formula>
    </cfRule>
  </conditionalFormatting>
  <conditionalFormatting sqref="AN27">
    <cfRule type="cellIs" priority="127" operator="equal" aboveAverage="0" equalAverage="0" bottom="0" percent="0" rank="0" text="" dxfId="125">
      <formula>$AS$3</formula>
    </cfRule>
  </conditionalFormatting>
  <conditionalFormatting sqref="AN27">
    <cfRule type="cellIs" priority="128" operator="equal" aboveAverage="0" equalAverage="0" bottom="0" percent="0" rank="0" text="" dxfId="126">
      <formula>$AS$3</formula>
    </cfRule>
  </conditionalFormatting>
  <conditionalFormatting sqref="AN27">
    <cfRule type="cellIs" priority="129" operator="equal" aboveAverage="0" equalAverage="0" bottom="0" percent="0" rank="0" text="" dxfId="127">
      <formula>$AS$3</formula>
    </cfRule>
  </conditionalFormatting>
  <conditionalFormatting sqref="AN27">
    <cfRule type="cellIs" priority="130" operator="equal" aboveAverage="0" equalAverage="0" bottom="0" percent="0" rank="0" text="" dxfId="128">
      <formula>$AS$3</formula>
    </cfRule>
  </conditionalFormatting>
  <conditionalFormatting sqref="AN27">
    <cfRule type="cellIs" priority="131" operator="equal" aboveAverage="0" equalAverage="0" bottom="0" percent="0" rank="0" text="" dxfId="129">
      <formula>$AS$3</formula>
    </cfRule>
  </conditionalFormatting>
  <conditionalFormatting sqref="AN27">
    <cfRule type="cellIs" priority="132" operator="equal" aboveAverage="0" equalAverage="0" bottom="0" percent="0" rank="0" text="" dxfId="130">
      <formula>$AS$3</formula>
    </cfRule>
  </conditionalFormatting>
  <conditionalFormatting sqref="P27">
    <cfRule type="cellIs" priority="133" operator="equal" aboveAverage="0" equalAverage="0" bottom="0" percent="0" rank="0" text="" dxfId="131">
      <formula>$AS$3</formula>
    </cfRule>
  </conditionalFormatting>
  <conditionalFormatting sqref="P27">
    <cfRule type="cellIs" priority="134" operator="equal" aboveAverage="0" equalAverage="0" bottom="0" percent="0" rank="0" text="" dxfId="132">
      <formula>$AS$3</formula>
    </cfRule>
  </conditionalFormatting>
  <conditionalFormatting sqref="P27">
    <cfRule type="cellIs" priority="135" operator="equal" aboveAverage="0" equalAverage="0" bottom="0" percent="0" rank="0" text="" dxfId="133">
      <formula>$AS$3</formula>
    </cfRule>
  </conditionalFormatting>
  <conditionalFormatting sqref="P27">
    <cfRule type="cellIs" priority="136" operator="equal" aboveAverage="0" equalAverage="0" bottom="0" percent="0" rank="0" text="" dxfId="134">
      <formula>$AS$3</formula>
    </cfRule>
  </conditionalFormatting>
  <conditionalFormatting sqref="P27">
    <cfRule type="cellIs" priority="137" operator="equal" aboveAverage="0" equalAverage="0" bottom="0" percent="0" rank="0" text="" dxfId="135">
      <formula>$AS$3</formula>
    </cfRule>
  </conditionalFormatting>
  <conditionalFormatting sqref="P27">
    <cfRule type="cellIs" priority="138" operator="equal" aboveAverage="0" equalAverage="0" bottom="0" percent="0" rank="0" text="" dxfId="136">
      <formula>$AS$3</formula>
    </cfRule>
  </conditionalFormatting>
  <conditionalFormatting sqref="P27">
    <cfRule type="cellIs" priority="139" operator="equal" aboveAverage="0" equalAverage="0" bottom="0" percent="0" rank="0" text="" dxfId="137">
      <formula>$AS$3</formula>
    </cfRule>
  </conditionalFormatting>
  <conditionalFormatting sqref="P27">
    <cfRule type="cellIs" priority="140" operator="equal" aboveAverage="0" equalAverage="0" bottom="0" percent="0" rank="0" text="" dxfId="138">
      <formula>$AS$3</formula>
    </cfRule>
  </conditionalFormatting>
  <conditionalFormatting sqref="P27">
    <cfRule type="cellIs" priority="141" operator="equal" aboveAverage="0" equalAverage="0" bottom="0" percent="0" rank="0" text="" dxfId="139">
      <formula>$AS$3</formula>
    </cfRule>
  </conditionalFormatting>
  <conditionalFormatting sqref="P27">
    <cfRule type="cellIs" priority="142" operator="equal" aboveAverage="0" equalAverage="0" bottom="0" percent="0" rank="0" text="" dxfId="140">
      <formula>$AS$3</formula>
    </cfRule>
  </conditionalFormatting>
  <conditionalFormatting sqref="P27">
    <cfRule type="cellIs" priority="143" operator="equal" aboveAverage="0" equalAverage="0" bottom="0" percent="0" rank="0" text="" dxfId="141">
      <formula>$AS$3</formula>
    </cfRule>
  </conditionalFormatting>
  <conditionalFormatting sqref="P27">
    <cfRule type="cellIs" priority="144" operator="equal" aboveAverage="0" equalAverage="0" bottom="0" percent="0" rank="0" text="" dxfId="142">
      <formula>$AS$3</formula>
    </cfRule>
  </conditionalFormatting>
  <conditionalFormatting sqref="P27">
    <cfRule type="cellIs" priority="145" operator="equal" aboveAverage="0" equalAverage="0" bottom="0" percent="0" rank="0" text="" dxfId="143">
      <formula>$AS$3</formula>
    </cfRule>
  </conditionalFormatting>
  <conditionalFormatting sqref="P27">
    <cfRule type="cellIs" priority="146" operator="equal" aboveAverage="0" equalAverage="0" bottom="0" percent="0" rank="0" text="" dxfId="144">
      <formula>$AS$3</formula>
    </cfRule>
  </conditionalFormatting>
  <conditionalFormatting sqref="P27">
    <cfRule type="cellIs" priority="147" operator="equal" aboveAverage="0" equalAverage="0" bottom="0" percent="0" rank="0" text="" dxfId="145">
      <formula>$AS$3</formula>
    </cfRule>
  </conditionalFormatting>
  <conditionalFormatting sqref="P27">
    <cfRule type="cellIs" priority="148" operator="equal" aboveAverage="0" equalAverage="0" bottom="0" percent="0" rank="0" text="" dxfId="146">
      <formula>$AS$3</formula>
    </cfRule>
  </conditionalFormatting>
  <conditionalFormatting sqref="P27">
    <cfRule type="cellIs" priority="149" operator="equal" aboveAverage="0" equalAverage="0" bottom="0" percent="0" rank="0" text="" dxfId="147">
      <formula>$AS$3</formula>
    </cfRule>
  </conditionalFormatting>
  <conditionalFormatting sqref="P27">
    <cfRule type="cellIs" priority="150" operator="equal" aboveAverage="0" equalAverage="0" bottom="0" percent="0" rank="0" text="" dxfId="148">
      <formula>$AS$3</formula>
    </cfRule>
  </conditionalFormatting>
  <conditionalFormatting sqref="P27">
    <cfRule type="cellIs" priority="151" operator="equal" aboveAverage="0" equalAverage="0" bottom="0" percent="0" rank="0" text="" dxfId="149">
      <formula>$AS$3</formula>
    </cfRule>
  </conditionalFormatting>
  <conditionalFormatting sqref="P27">
    <cfRule type="cellIs" priority="152" operator="equal" aboveAverage="0" equalAverage="0" bottom="0" percent="0" rank="0" text="" dxfId="150">
      <formula>$AS$3</formula>
    </cfRule>
  </conditionalFormatting>
  <conditionalFormatting sqref="P27">
    <cfRule type="cellIs" priority="153" operator="equal" aboveAverage="0" equalAverage="0" bottom="0" percent="0" rank="0" text="" dxfId="151">
      <formula>$AS$3</formula>
    </cfRule>
  </conditionalFormatting>
  <conditionalFormatting sqref="P27">
    <cfRule type="cellIs" priority="154" operator="equal" aboveAverage="0" equalAverage="0" bottom="0" percent="0" rank="0" text="" dxfId="152">
      <formula>$AS$3</formula>
    </cfRule>
  </conditionalFormatting>
  <conditionalFormatting sqref="P27">
    <cfRule type="cellIs" priority="155" operator="equal" aboveAverage="0" equalAverage="0" bottom="0" percent="0" rank="0" text="" dxfId="153">
      <formula>$AS$3</formula>
    </cfRule>
  </conditionalFormatting>
  <conditionalFormatting sqref="P27">
    <cfRule type="cellIs" priority="156" operator="equal" aboveAverage="0" equalAverage="0" bottom="0" percent="0" rank="0" text="" dxfId="154">
      <formula>$AS$3</formula>
    </cfRule>
  </conditionalFormatting>
  <conditionalFormatting sqref="P27">
    <cfRule type="cellIs" priority="157" operator="equal" aboveAverage="0" equalAverage="0" bottom="0" percent="0" rank="0" text="" dxfId="155">
      <formula>$AS$3</formula>
    </cfRule>
  </conditionalFormatting>
  <conditionalFormatting sqref="P27">
    <cfRule type="cellIs" priority="158" operator="equal" aboveAverage="0" equalAverage="0" bottom="0" percent="0" rank="0" text="" dxfId="156">
      <formula>$AS$3</formula>
    </cfRule>
  </conditionalFormatting>
  <conditionalFormatting sqref="P27">
    <cfRule type="cellIs" priority="159" operator="equal" aboveAverage="0" equalAverage="0" bottom="0" percent="0" rank="0" text="" dxfId="157">
      <formula>$AS$3</formula>
    </cfRule>
  </conditionalFormatting>
  <conditionalFormatting sqref="P27">
    <cfRule type="cellIs" priority="160" operator="equal" aboveAverage="0" equalAverage="0" bottom="0" percent="0" rank="0" text="" dxfId="158">
      <formula>$AS$3</formula>
    </cfRule>
  </conditionalFormatting>
  <conditionalFormatting sqref="P27">
    <cfRule type="cellIs" priority="161" operator="equal" aboveAverage="0" equalAverage="0" bottom="0" percent="0" rank="0" text="" dxfId="159">
      <formula>$AS$3</formula>
    </cfRule>
  </conditionalFormatting>
  <conditionalFormatting sqref="P27">
    <cfRule type="cellIs" priority="162" operator="equal" aboveAverage="0" equalAverage="0" bottom="0" percent="0" rank="0" text="" dxfId="160">
      <formula>$AS$3</formula>
    </cfRule>
  </conditionalFormatting>
  <conditionalFormatting sqref="P27">
    <cfRule type="cellIs" priority="163" operator="equal" aboveAverage="0" equalAverage="0" bottom="0" percent="0" rank="0" text="" dxfId="161">
      <formula>$AS$3</formula>
    </cfRule>
  </conditionalFormatting>
  <conditionalFormatting sqref="P27">
    <cfRule type="cellIs" priority="164" operator="equal" aboveAverage="0" equalAverage="0" bottom="0" percent="0" rank="0" text="" dxfId="162">
      <formula>$AS$3</formula>
    </cfRule>
  </conditionalFormatting>
  <conditionalFormatting sqref="R27">
    <cfRule type="cellIs" priority="165" operator="equal" aboveAverage="0" equalAverage="0" bottom="0" percent="0" rank="0" text="" dxfId="163">
      <formula>$AS$3</formula>
    </cfRule>
  </conditionalFormatting>
  <conditionalFormatting sqref="R27">
    <cfRule type="cellIs" priority="166" operator="equal" aboveAverage="0" equalAverage="0" bottom="0" percent="0" rank="0" text="" dxfId="164">
      <formula>$AS$3</formula>
    </cfRule>
  </conditionalFormatting>
  <conditionalFormatting sqref="R27">
    <cfRule type="cellIs" priority="167" operator="equal" aboveAverage="0" equalAverage="0" bottom="0" percent="0" rank="0" text="" dxfId="165">
      <formula>$AS$3</formula>
    </cfRule>
  </conditionalFormatting>
  <conditionalFormatting sqref="R27">
    <cfRule type="cellIs" priority="168" operator="equal" aboveAverage="0" equalAverage="0" bottom="0" percent="0" rank="0" text="" dxfId="166">
      <formula>$AS$3</formula>
    </cfRule>
  </conditionalFormatting>
  <conditionalFormatting sqref="R27">
    <cfRule type="cellIs" priority="169" operator="equal" aboveAverage="0" equalAverage="0" bottom="0" percent="0" rank="0" text="" dxfId="167">
      <formula>$AS$3</formula>
    </cfRule>
  </conditionalFormatting>
  <conditionalFormatting sqref="R27">
    <cfRule type="cellIs" priority="170" operator="equal" aboveAverage="0" equalAverage="0" bottom="0" percent="0" rank="0" text="" dxfId="168">
      <formula>$AS$3</formula>
    </cfRule>
  </conditionalFormatting>
  <conditionalFormatting sqref="R27">
    <cfRule type="cellIs" priority="171" operator="equal" aboveAverage="0" equalAverage="0" bottom="0" percent="0" rank="0" text="" dxfId="169">
      <formula>$AS$3</formula>
    </cfRule>
  </conditionalFormatting>
  <conditionalFormatting sqref="R27">
    <cfRule type="cellIs" priority="172" operator="equal" aboveAverage="0" equalAverage="0" bottom="0" percent="0" rank="0" text="" dxfId="170">
      <formula>$AS$3</formula>
    </cfRule>
  </conditionalFormatting>
  <conditionalFormatting sqref="R27">
    <cfRule type="cellIs" priority="173" operator="equal" aboveAverage="0" equalAverage="0" bottom="0" percent="0" rank="0" text="" dxfId="171">
      <formula>$AS$3</formula>
    </cfRule>
  </conditionalFormatting>
  <conditionalFormatting sqref="R27">
    <cfRule type="cellIs" priority="174" operator="equal" aboveAverage="0" equalAverage="0" bottom="0" percent="0" rank="0" text="" dxfId="172">
      <formula>$AS$3</formula>
    </cfRule>
  </conditionalFormatting>
  <conditionalFormatting sqref="R27">
    <cfRule type="cellIs" priority="175" operator="equal" aboveAverage="0" equalAverage="0" bottom="0" percent="0" rank="0" text="" dxfId="173">
      <formula>$AS$3</formula>
    </cfRule>
  </conditionalFormatting>
  <conditionalFormatting sqref="R27">
    <cfRule type="cellIs" priority="176" operator="equal" aboveAverage="0" equalAverage="0" bottom="0" percent="0" rank="0" text="" dxfId="174">
      <formula>$AS$3</formula>
    </cfRule>
  </conditionalFormatting>
  <conditionalFormatting sqref="R27">
    <cfRule type="cellIs" priority="177" operator="equal" aboveAverage="0" equalAverage="0" bottom="0" percent="0" rank="0" text="" dxfId="175">
      <formula>$AS$3</formula>
    </cfRule>
  </conditionalFormatting>
  <conditionalFormatting sqref="R27">
    <cfRule type="cellIs" priority="178" operator="equal" aboveAverage="0" equalAverage="0" bottom="0" percent="0" rank="0" text="" dxfId="176">
      <formula>$AS$3</formula>
    </cfRule>
  </conditionalFormatting>
  <conditionalFormatting sqref="R27">
    <cfRule type="cellIs" priority="179" operator="equal" aboveAverage="0" equalAverage="0" bottom="0" percent="0" rank="0" text="" dxfId="177">
      <formula>$AS$3</formula>
    </cfRule>
  </conditionalFormatting>
  <conditionalFormatting sqref="R27">
    <cfRule type="cellIs" priority="180" operator="equal" aboveAverage="0" equalAverage="0" bottom="0" percent="0" rank="0" text="" dxfId="178">
      <formula>$AS$3</formula>
    </cfRule>
  </conditionalFormatting>
  <conditionalFormatting sqref="R27">
    <cfRule type="cellIs" priority="181" operator="equal" aboveAverage="0" equalAverage="0" bottom="0" percent="0" rank="0" text="" dxfId="179">
      <formula>$AS$3</formula>
    </cfRule>
  </conditionalFormatting>
  <conditionalFormatting sqref="R27">
    <cfRule type="cellIs" priority="182" operator="equal" aboveAverage="0" equalAverage="0" bottom="0" percent="0" rank="0" text="" dxfId="180">
      <formula>$AS$3</formula>
    </cfRule>
  </conditionalFormatting>
  <conditionalFormatting sqref="R27">
    <cfRule type="cellIs" priority="183" operator="equal" aboveAverage="0" equalAverage="0" bottom="0" percent="0" rank="0" text="" dxfId="181">
      <formula>$AS$3</formula>
    </cfRule>
  </conditionalFormatting>
  <conditionalFormatting sqref="R27">
    <cfRule type="cellIs" priority="184" operator="equal" aboveAverage="0" equalAverage="0" bottom="0" percent="0" rank="0" text="" dxfId="182">
      <formula>$AS$3</formula>
    </cfRule>
  </conditionalFormatting>
  <conditionalFormatting sqref="R27">
    <cfRule type="cellIs" priority="185" operator="equal" aboveAverage="0" equalAverage="0" bottom="0" percent="0" rank="0" text="" dxfId="183">
      <formula>$AS$3</formula>
    </cfRule>
  </conditionalFormatting>
  <conditionalFormatting sqref="R27">
    <cfRule type="cellIs" priority="186" operator="equal" aboveAverage="0" equalAverage="0" bottom="0" percent="0" rank="0" text="" dxfId="184">
      <formula>$AS$3</formula>
    </cfRule>
  </conditionalFormatting>
  <conditionalFormatting sqref="R27">
    <cfRule type="cellIs" priority="187" operator="equal" aboveAverage="0" equalAverage="0" bottom="0" percent="0" rank="0" text="" dxfId="185">
      <formula>$AS$3</formula>
    </cfRule>
  </conditionalFormatting>
  <conditionalFormatting sqref="R27">
    <cfRule type="cellIs" priority="188" operator="equal" aboveAverage="0" equalAverage="0" bottom="0" percent="0" rank="0" text="" dxfId="186">
      <formula>$AS$3</formula>
    </cfRule>
  </conditionalFormatting>
  <conditionalFormatting sqref="R27">
    <cfRule type="cellIs" priority="189" operator="equal" aboveAverage="0" equalAverage="0" bottom="0" percent="0" rank="0" text="" dxfId="187">
      <formula>$AS$3</formula>
    </cfRule>
  </conditionalFormatting>
  <conditionalFormatting sqref="R27">
    <cfRule type="cellIs" priority="190" operator="equal" aboveAverage="0" equalAverage="0" bottom="0" percent="0" rank="0" text="" dxfId="188">
      <formula>$AS$3</formula>
    </cfRule>
  </conditionalFormatting>
  <conditionalFormatting sqref="R27">
    <cfRule type="cellIs" priority="191" operator="equal" aboveAverage="0" equalAverage="0" bottom="0" percent="0" rank="0" text="" dxfId="189">
      <formula>$AS$3</formula>
    </cfRule>
  </conditionalFormatting>
  <conditionalFormatting sqref="R27">
    <cfRule type="cellIs" priority="192" operator="equal" aboveAverage="0" equalAverage="0" bottom="0" percent="0" rank="0" text="" dxfId="190">
      <formula>$AS$3</formula>
    </cfRule>
  </conditionalFormatting>
  <conditionalFormatting sqref="R27">
    <cfRule type="cellIs" priority="193" operator="equal" aboveAverage="0" equalAverage="0" bottom="0" percent="0" rank="0" text="" dxfId="191">
      <formula>$AS$3</formula>
    </cfRule>
  </conditionalFormatting>
  <conditionalFormatting sqref="R27">
    <cfRule type="cellIs" priority="194" operator="equal" aboveAverage="0" equalAverage="0" bottom="0" percent="0" rank="0" text="" dxfId="192">
      <formula>$AS$3</formula>
    </cfRule>
  </conditionalFormatting>
  <conditionalFormatting sqref="R27">
    <cfRule type="cellIs" priority="195" operator="equal" aboveAverage="0" equalAverage="0" bottom="0" percent="0" rank="0" text="" dxfId="193">
      <formula>$AS$3</formula>
    </cfRule>
  </conditionalFormatting>
  <conditionalFormatting sqref="R27">
    <cfRule type="cellIs" priority="196" operator="equal" aboveAverage="0" equalAverage="0" bottom="0" percent="0" rank="0" text="" dxfId="194">
      <formula>$AS$3</formula>
    </cfRule>
  </conditionalFormatting>
  <conditionalFormatting sqref="AI27">
    <cfRule type="cellIs" priority="197" operator="equal" aboveAverage="0" equalAverage="0" bottom="0" percent="0" rank="0" text="" dxfId="195">
      <formula>$AS$3</formula>
    </cfRule>
  </conditionalFormatting>
  <conditionalFormatting sqref="AI27">
    <cfRule type="cellIs" priority="198" operator="equal" aboveAverage="0" equalAverage="0" bottom="0" percent="0" rank="0" text="" dxfId="196">
      <formula>$AS$3</formula>
    </cfRule>
  </conditionalFormatting>
  <conditionalFormatting sqref="AI27">
    <cfRule type="cellIs" priority="199" operator="equal" aboveAverage="0" equalAverage="0" bottom="0" percent="0" rank="0" text="" dxfId="197">
      <formula>$AS$3</formula>
    </cfRule>
  </conditionalFormatting>
  <conditionalFormatting sqref="AI27">
    <cfRule type="cellIs" priority="200" operator="equal" aboveAverage="0" equalAverage="0" bottom="0" percent="0" rank="0" text="" dxfId="198">
      <formula>$AS$3</formula>
    </cfRule>
  </conditionalFormatting>
  <conditionalFormatting sqref="AI27">
    <cfRule type="cellIs" priority="201" operator="equal" aboveAverage="0" equalAverage="0" bottom="0" percent="0" rank="0" text="" dxfId="199">
      <formula>$AS$3</formula>
    </cfRule>
  </conditionalFormatting>
  <conditionalFormatting sqref="AI27">
    <cfRule type="cellIs" priority="202" operator="equal" aboveAverage="0" equalAverage="0" bottom="0" percent="0" rank="0" text="" dxfId="200">
      <formula>$AS$3</formula>
    </cfRule>
  </conditionalFormatting>
  <conditionalFormatting sqref="AI27">
    <cfRule type="cellIs" priority="203" operator="equal" aboveAverage="0" equalAverage="0" bottom="0" percent="0" rank="0" text="" dxfId="201">
      <formula>$AS$3</formula>
    </cfRule>
  </conditionalFormatting>
  <conditionalFormatting sqref="AI27">
    <cfRule type="cellIs" priority="204" operator="equal" aboveAverage="0" equalAverage="0" bottom="0" percent="0" rank="0" text="" dxfId="202">
      <formula>$AS$3</formula>
    </cfRule>
  </conditionalFormatting>
  <conditionalFormatting sqref="AI27">
    <cfRule type="cellIs" priority="205" operator="equal" aboveAverage="0" equalAverage="0" bottom="0" percent="0" rank="0" text="" dxfId="203">
      <formula>$AS$3</formula>
    </cfRule>
  </conditionalFormatting>
  <conditionalFormatting sqref="AI27">
    <cfRule type="cellIs" priority="206" operator="equal" aboveAverage="0" equalAverage="0" bottom="0" percent="0" rank="0" text="" dxfId="204">
      <formula>$AS$3</formula>
    </cfRule>
  </conditionalFormatting>
  <conditionalFormatting sqref="AI27">
    <cfRule type="cellIs" priority="207" operator="equal" aboveAverage="0" equalAverage="0" bottom="0" percent="0" rank="0" text="" dxfId="205">
      <formula>$AS$3</formula>
    </cfRule>
  </conditionalFormatting>
  <conditionalFormatting sqref="AI27">
    <cfRule type="cellIs" priority="208" operator="equal" aboveAverage="0" equalAverage="0" bottom="0" percent="0" rank="0" text="" dxfId="206">
      <formula>$AS$3</formula>
    </cfRule>
  </conditionalFormatting>
  <conditionalFormatting sqref="AI27">
    <cfRule type="cellIs" priority="209" operator="equal" aboveAverage="0" equalAverage="0" bottom="0" percent="0" rank="0" text="" dxfId="207">
      <formula>$AS$3</formula>
    </cfRule>
  </conditionalFormatting>
  <conditionalFormatting sqref="AI27">
    <cfRule type="cellIs" priority="210" operator="equal" aboveAverage="0" equalAverage="0" bottom="0" percent="0" rank="0" text="" dxfId="208">
      <formula>$AS$3</formula>
    </cfRule>
  </conditionalFormatting>
  <conditionalFormatting sqref="AI27">
    <cfRule type="cellIs" priority="211" operator="equal" aboveAverage="0" equalAverage="0" bottom="0" percent="0" rank="0" text="" dxfId="209">
      <formula>$AS$3</formula>
    </cfRule>
  </conditionalFormatting>
  <conditionalFormatting sqref="AI27">
    <cfRule type="cellIs" priority="212" operator="equal" aboveAverage="0" equalAverage="0" bottom="0" percent="0" rank="0" text="" dxfId="210">
      <formula>$AS$3</formula>
    </cfRule>
  </conditionalFormatting>
  <conditionalFormatting sqref="AI27">
    <cfRule type="cellIs" priority="213" operator="equal" aboveAverage="0" equalAverage="0" bottom="0" percent="0" rank="0" text="" dxfId="211">
      <formula>$AS$3</formula>
    </cfRule>
  </conditionalFormatting>
  <conditionalFormatting sqref="AI27">
    <cfRule type="cellIs" priority="214" operator="equal" aboveAverage="0" equalAverage="0" bottom="0" percent="0" rank="0" text="" dxfId="212">
      <formula>$AS$3</formula>
    </cfRule>
  </conditionalFormatting>
  <conditionalFormatting sqref="AI27">
    <cfRule type="cellIs" priority="215" operator="equal" aboveAverage="0" equalAverage="0" bottom="0" percent="0" rank="0" text="" dxfId="213">
      <formula>$AS$3</formula>
    </cfRule>
  </conditionalFormatting>
  <conditionalFormatting sqref="AI27">
    <cfRule type="cellIs" priority="216" operator="equal" aboveAverage="0" equalAverage="0" bottom="0" percent="0" rank="0" text="" dxfId="214">
      <formula>$AS$3</formula>
    </cfRule>
  </conditionalFormatting>
  <conditionalFormatting sqref="AI27">
    <cfRule type="cellIs" priority="217" operator="equal" aboveAverage="0" equalAverage="0" bottom="0" percent="0" rank="0" text="" dxfId="215">
      <formula>$AS$3</formula>
    </cfRule>
  </conditionalFormatting>
  <conditionalFormatting sqref="AI27">
    <cfRule type="cellIs" priority="218" operator="equal" aboveAverage="0" equalAverage="0" bottom="0" percent="0" rank="0" text="" dxfId="216">
      <formula>$AS$3</formula>
    </cfRule>
  </conditionalFormatting>
  <conditionalFormatting sqref="AI27">
    <cfRule type="cellIs" priority="219" operator="equal" aboveAverage="0" equalAverage="0" bottom="0" percent="0" rank="0" text="" dxfId="217">
      <formula>$AS$3</formula>
    </cfRule>
  </conditionalFormatting>
  <conditionalFormatting sqref="AI27">
    <cfRule type="cellIs" priority="220" operator="equal" aboveAverage="0" equalAverage="0" bottom="0" percent="0" rank="0" text="" dxfId="218">
      <formula>$AS$3</formula>
    </cfRule>
  </conditionalFormatting>
  <conditionalFormatting sqref="AI27">
    <cfRule type="cellIs" priority="221" operator="equal" aboveAverage="0" equalAverage="0" bottom="0" percent="0" rank="0" text="" dxfId="219">
      <formula>$AS$3</formula>
    </cfRule>
  </conditionalFormatting>
  <conditionalFormatting sqref="AI27">
    <cfRule type="cellIs" priority="222" operator="equal" aboveAverage="0" equalAverage="0" bottom="0" percent="0" rank="0" text="" dxfId="220">
      <formula>$AS$3</formula>
    </cfRule>
  </conditionalFormatting>
  <conditionalFormatting sqref="AI27">
    <cfRule type="cellIs" priority="223" operator="equal" aboveAverage="0" equalAverage="0" bottom="0" percent="0" rank="0" text="" dxfId="221">
      <formula>$AS$3</formula>
    </cfRule>
  </conditionalFormatting>
  <conditionalFormatting sqref="AI27">
    <cfRule type="cellIs" priority="224" operator="equal" aboveAverage="0" equalAverage="0" bottom="0" percent="0" rank="0" text="" dxfId="222">
      <formula>$AS$3</formula>
    </cfRule>
  </conditionalFormatting>
  <conditionalFormatting sqref="AI27">
    <cfRule type="cellIs" priority="225" operator="equal" aboveAverage="0" equalAverage="0" bottom="0" percent="0" rank="0" text="" dxfId="223">
      <formula>$AS$3</formula>
    </cfRule>
  </conditionalFormatting>
  <conditionalFormatting sqref="AI27">
    <cfRule type="cellIs" priority="226" operator="equal" aboveAverage="0" equalAverage="0" bottom="0" percent="0" rank="0" text="" dxfId="224">
      <formula>$AS$3</formula>
    </cfRule>
  </conditionalFormatting>
  <conditionalFormatting sqref="AI27">
    <cfRule type="cellIs" priority="227" operator="equal" aboveAverage="0" equalAverage="0" bottom="0" percent="0" rank="0" text="" dxfId="225">
      <formula>$AS$3</formula>
    </cfRule>
  </conditionalFormatting>
  <conditionalFormatting sqref="AI27">
    <cfRule type="cellIs" priority="228" operator="equal" aboveAverage="0" equalAverage="0" bottom="0" percent="0" rank="0" text="" dxfId="226">
      <formula>$AS$3</formula>
    </cfRule>
  </conditionalFormatting>
  <conditionalFormatting sqref="S27">
    <cfRule type="cellIs" priority="229" operator="equal" aboveAverage="0" equalAverage="0" bottom="0" percent="0" rank="0" text="" dxfId="227">
      <formula>$AS$3</formula>
    </cfRule>
  </conditionalFormatting>
  <conditionalFormatting sqref="S27">
    <cfRule type="cellIs" priority="230" operator="equal" aboveAverage="0" equalAverage="0" bottom="0" percent="0" rank="0" text="" dxfId="228">
      <formula>$AS$3</formula>
    </cfRule>
  </conditionalFormatting>
  <conditionalFormatting sqref="S27">
    <cfRule type="cellIs" priority="231" operator="equal" aboveAverage="0" equalAverage="0" bottom="0" percent="0" rank="0" text="" dxfId="229">
      <formula>$AS$3</formula>
    </cfRule>
  </conditionalFormatting>
  <conditionalFormatting sqref="S27">
    <cfRule type="cellIs" priority="232" operator="equal" aboveAverage="0" equalAverage="0" bottom="0" percent="0" rank="0" text="" dxfId="230">
      <formula>$AS$3</formula>
    </cfRule>
  </conditionalFormatting>
  <conditionalFormatting sqref="S27">
    <cfRule type="cellIs" priority="233" operator="equal" aboveAverage="0" equalAverage="0" bottom="0" percent="0" rank="0" text="" dxfId="231">
      <formula>$AS$3</formula>
    </cfRule>
  </conditionalFormatting>
  <conditionalFormatting sqref="S27">
    <cfRule type="cellIs" priority="234" operator="equal" aboveAverage="0" equalAverage="0" bottom="0" percent="0" rank="0" text="" dxfId="232">
      <formula>$AS$3</formula>
    </cfRule>
  </conditionalFormatting>
  <conditionalFormatting sqref="S27">
    <cfRule type="cellIs" priority="235" operator="equal" aboveAverage="0" equalAverage="0" bottom="0" percent="0" rank="0" text="" dxfId="233">
      <formula>$AS$3</formula>
    </cfRule>
  </conditionalFormatting>
  <conditionalFormatting sqref="S27">
    <cfRule type="cellIs" priority="236" operator="equal" aboveAverage="0" equalAverage="0" bottom="0" percent="0" rank="0" text="" dxfId="234">
      <formula>$AS$3</formula>
    </cfRule>
  </conditionalFormatting>
  <conditionalFormatting sqref="S27">
    <cfRule type="cellIs" priority="237" operator="equal" aboveAverage="0" equalAverage="0" bottom="0" percent="0" rank="0" text="" dxfId="235">
      <formula>$AS$3</formula>
    </cfRule>
  </conditionalFormatting>
  <conditionalFormatting sqref="S27">
    <cfRule type="cellIs" priority="238" operator="equal" aboveAverage="0" equalAverage="0" bottom="0" percent="0" rank="0" text="" dxfId="236">
      <formula>$AS$3</formula>
    </cfRule>
  </conditionalFormatting>
  <conditionalFormatting sqref="S27">
    <cfRule type="cellIs" priority="239" operator="equal" aboveAverage="0" equalAverage="0" bottom="0" percent="0" rank="0" text="" dxfId="237">
      <formula>$AS$3</formula>
    </cfRule>
  </conditionalFormatting>
  <conditionalFormatting sqref="S27">
    <cfRule type="cellIs" priority="240" operator="equal" aboveAverage="0" equalAverage="0" bottom="0" percent="0" rank="0" text="" dxfId="238">
      <formula>$AS$3</formula>
    </cfRule>
  </conditionalFormatting>
  <conditionalFormatting sqref="S27">
    <cfRule type="cellIs" priority="241" operator="equal" aboveAverage="0" equalAverage="0" bottom="0" percent="0" rank="0" text="" dxfId="239">
      <formula>$AS$3</formula>
    </cfRule>
  </conditionalFormatting>
  <conditionalFormatting sqref="S27">
    <cfRule type="cellIs" priority="242" operator="equal" aboveAverage="0" equalAverage="0" bottom="0" percent="0" rank="0" text="" dxfId="240">
      <formula>$AS$3</formula>
    </cfRule>
  </conditionalFormatting>
  <conditionalFormatting sqref="S27">
    <cfRule type="cellIs" priority="243" operator="equal" aboveAverage="0" equalAverage="0" bottom="0" percent="0" rank="0" text="" dxfId="241">
      <formula>$AS$3</formula>
    </cfRule>
  </conditionalFormatting>
  <conditionalFormatting sqref="S27">
    <cfRule type="cellIs" priority="244" operator="equal" aboveAverage="0" equalAverage="0" bottom="0" percent="0" rank="0" text="" dxfId="242">
      <formula>$AS$3</formula>
    </cfRule>
  </conditionalFormatting>
  <conditionalFormatting sqref="S27">
    <cfRule type="cellIs" priority="245" operator="equal" aboveAverage="0" equalAverage="0" bottom="0" percent="0" rank="0" text="" dxfId="243">
      <formula>$AS$3</formula>
    </cfRule>
  </conditionalFormatting>
  <conditionalFormatting sqref="S27">
    <cfRule type="cellIs" priority="246" operator="equal" aboveAverage="0" equalAverage="0" bottom="0" percent="0" rank="0" text="" dxfId="244">
      <formula>$AS$3</formula>
    </cfRule>
  </conditionalFormatting>
  <conditionalFormatting sqref="S27">
    <cfRule type="cellIs" priority="247" operator="equal" aboveAverage="0" equalAverage="0" bottom="0" percent="0" rank="0" text="" dxfId="245">
      <formula>$AS$3</formula>
    </cfRule>
  </conditionalFormatting>
  <conditionalFormatting sqref="S27">
    <cfRule type="cellIs" priority="248" operator="equal" aboveAverage="0" equalAverage="0" bottom="0" percent="0" rank="0" text="" dxfId="246">
      <formula>$AS$3</formula>
    </cfRule>
  </conditionalFormatting>
  <conditionalFormatting sqref="S27">
    <cfRule type="cellIs" priority="249" operator="equal" aboveAverage="0" equalAverage="0" bottom="0" percent="0" rank="0" text="" dxfId="247">
      <formula>$AS$3</formula>
    </cfRule>
  </conditionalFormatting>
  <conditionalFormatting sqref="S27">
    <cfRule type="cellIs" priority="250" operator="equal" aboveAverage="0" equalAverage="0" bottom="0" percent="0" rank="0" text="" dxfId="248">
      <formula>$AS$3</formula>
    </cfRule>
  </conditionalFormatting>
  <conditionalFormatting sqref="S27">
    <cfRule type="cellIs" priority="251" operator="equal" aboveAverage="0" equalAverage="0" bottom="0" percent="0" rank="0" text="" dxfId="249">
      <formula>$AS$3</formula>
    </cfRule>
  </conditionalFormatting>
  <conditionalFormatting sqref="S27">
    <cfRule type="cellIs" priority="252" operator="equal" aboveAverage="0" equalAverage="0" bottom="0" percent="0" rank="0" text="" dxfId="250">
      <formula>$AS$3</formula>
    </cfRule>
  </conditionalFormatting>
  <conditionalFormatting sqref="S27">
    <cfRule type="cellIs" priority="253" operator="equal" aboveAverage="0" equalAverage="0" bottom="0" percent="0" rank="0" text="" dxfId="251">
      <formula>$AS$3</formula>
    </cfRule>
  </conditionalFormatting>
  <conditionalFormatting sqref="S27">
    <cfRule type="cellIs" priority="254" operator="equal" aboveAverage="0" equalAverage="0" bottom="0" percent="0" rank="0" text="" dxfId="252">
      <formula>$AS$3</formula>
    </cfRule>
  </conditionalFormatting>
  <conditionalFormatting sqref="S27">
    <cfRule type="cellIs" priority="255" operator="equal" aboveAverage="0" equalAverage="0" bottom="0" percent="0" rank="0" text="" dxfId="253">
      <formula>$AS$3</formula>
    </cfRule>
  </conditionalFormatting>
  <conditionalFormatting sqref="S27">
    <cfRule type="cellIs" priority="256" operator="equal" aboveAverage="0" equalAverage="0" bottom="0" percent="0" rank="0" text="" dxfId="254">
      <formula>$AS$3</formula>
    </cfRule>
  </conditionalFormatting>
  <conditionalFormatting sqref="S27">
    <cfRule type="cellIs" priority="257" operator="equal" aboveAverage="0" equalAverage="0" bottom="0" percent="0" rank="0" text="" dxfId="255">
      <formula>$AS$3</formula>
    </cfRule>
  </conditionalFormatting>
  <conditionalFormatting sqref="S27">
    <cfRule type="cellIs" priority="258" operator="equal" aboveAverage="0" equalAverage="0" bottom="0" percent="0" rank="0" text="" dxfId="256">
      <formula>$AS$3</formula>
    </cfRule>
  </conditionalFormatting>
  <conditionalFormatting sqref="S27">
    <cfRule type="cellIs" priority="259" operator="equal" aboveAverage="0" equalAverage="0" bottom="0" percent="0" rank="0" text="" dxfId="257">
      <formula>$AS$3</formula>
    </cfRule>
  </conditionalFormatting>
  <conditionalFormatting sqref="S27">
    <cfRule type="cellIs" priority="260" operator="equal" aboveAverage="0" equalAverage="0" bottom="0" percent="0" rank="0" text="" dxfId="258">
      <formula>$AS$3</formula>
    </cfRule>
  </conditionalFormatting>
  <conditionalFormatting sqref="L27">
    <cfRule type="cellIs" priority="261" operator="equal" aboveAverage="0" equalAverage="0" bottom="0" percent="0" rank="0" text="" dxfId="259">
      <formula>$AS$3</formula>
    </cfRule>
  </conditionalFormatting>
  <conditionalFormatting sqref="L27">
    <cfRule type="cellIs" priority="262" operator="equal" aboveAverage="0" equalAverage="0" bottom="0" percent="0" rank="0" text="" dxfId="260">
      <formula>$AS$3</formula>
    </cfRule>
  </conditionalFormatting>
  <conditionalFormatting sqref="L27">
    <cfRule type="cellIs" priority="263" operator="equal" aboveAverage="0" equalAverage="0" bottom="0" percent="0" rank="0" text="" dxfId="261">
      <formula>$AS$3</formula>
    </cfRule>
  </conditionalFormatting>
  <conditionalFormatting sqref="L27">
    <cfRule type="cellIs" priority="264" operator="equal" aboveAverage="0" equalAverage="0" bottom="0" percent="0" rank="0" text="" dxfId="262">
      <formula>$AS$3</formula>
    </cfRule>
  </conditionalFormatting>
  <conditionalFormatting sqref="L27">
    <cfRule type="cellIs" priority="265" operator="equal" aboveAverage="0" equalAverage="0" bottom="0" percent="0" rank="0" text="" dxfId="263">
      <formula>$AS$3</formula>
    </cfRule>
  </conditionalFormatting>
  <conditionalFormatting sqref="L27">
    <cfRule type="cellIs" priority="266" operator="equal" aboveAverage="0" equalAverage="0" bottom="0" percent="0" rank="0" text="" dxfId="264">
      <formula>$AS$3</formula>
    </cfRule>
  </conditionalFormatting>
  <conditionalFormatting sqref="L27">
    <cfRule type="cellIs" priority="267" operator="equal" aboveAverage="0" equalAverage="0" bottom="0" percent="0" rank="0" text="" dxfId="265">
      <formula>$AS$3</formula>
    </cfRule>
  </conditionalFormatting>
  <conditionalFormatting sqref="L27">
    <cfRule type="cellIs" priority="268" operator="equal" aboveAverage="0" equalAverage="0" bottom="0" percent="0" rank="0" text="" dxfId="266">
      <formula>$AS$3</formula>
    </cfRule>
  </conditionalFormatting>
  <conditionalFormatting sqref="L27">
    <cfRule type="cellIs" priority="269" operator="equal" aboveAverage="0" equalAverage="0" bottom="0" percent="0" rank="0" text="" dxfId="267">
      <formula>$AS$3</formula>
    </cfRule>
  </conditionalFormatting>
  <conditionalFormatting sqref="L27">
    <cfRule type="cellIs" priority="270" operator="equal" aboveAverage="0" equalAverage="0" bottom="0" percent="0" rank="0" text="" dxfId="268">
      <formula>$AS$3</formula>
    </cfRule>
  </conditionalFormatting>
  <conditionalFormatting sqref="L27">
    <cfRule type="cellIs" priority="271" operator="equal" aboveAverage="0" equalAverage="0" bottom="0" percent="0" rank="0" text="" dxfId="269">
      <formula>$AS$3</formula>
    </cfRule>
  </conditionalFormatting>
  <conditionalFormatting sqref="L27">
    <cfRule type="cellIs" priority="272" operator="equal" aboveAverage="0" equalAverage="0" bottom="0" percent="0" rank="0" text="" dxfId="270">
      <formula>$AS$3</formula>
    </cfRule>
  </conditionalFormatting>
  <conditionalFormatting sqref="L27">
    <cfRule type="cellIs" priority="273" operator="equal" aboveAverage="0" equalAverage="0" bottom="0" percent="0" rank="0" text="" dxfId="271">
      <formula>$AS$3</formula>
    </cfRule>
  </conditionalFormatting>
  <conditionalFormatting sqref="L27">
    <cfRule type="cellIs" priority="274" operator="equal" aboveAverage="0" equalAverage="0" bottom="0" percent="0" rank="0" text="" dxfId="272">
      <formula>$AS$3</formula>
    </cfRule>
  </conditionalFormatting>
  <conditionalFormatting sqref="L27">
    <cfRule type="cellIs" priority="275" operator="equal" aboveAverage="0" equalAverage="0" bottom="0" percent="0" rank="0" text="" dxfId="273">
      <formula>$AS$3</formula>
    </cfRule>
  </conditionalFormatting>
  <conditionalFormatting sqref="L27">
    <cfRule type="cellIs" priority="276" operator="equal" aboveAverage="0" equalAverage="0" bottom="0" percent="0" rank="0" text="" dxfId="274">
      <formula>$AS$3</formula>
    </cfRule>
  </conditionalFormatting>
  <conditionalFormatting sqref="L27">
    <cfRule type="cellIs" priority="277" operator="equal" aboveAverage="0" equalAverage="0" bottom="0" percent="0" rank="0" text="" dxfId="275">
      <formula>$AS$3</formula>
    </cfRule>
  </conditionalFormatting>
  <conditionalFormatting sqref="L27">
    <cfRule type="cellIs" priority="278" operator="equal" aboveAverage="0" equalAverage="0" bottom="0" percent="0" rank="0" text="" dxfId="276">
      <formula>$AS$3</formula>
    </cfRule>
  </conditionalFormatting>
  <conditionalFormatting sqref="L27">
    <cfRule type="cellIs" priority="279" operator="equal" aboveAverage="0" equalAverage="0" bottom="0" percent="0" rank="0" text="" dxfId="277">
      <formula>$AS$3</formula>
    </cfRule>
  </conditionalFormatting>
  <conditionalFormatting sqref="L27">
    <cfRule type="cellIs" priority="280" operator="equal" aboveAverage="0" equalAverage="0" bottom="0" percent="0" rank="0" text="" dxfId="278">
      <formula>$AS$3</formula>
    </cfRule>
  </conditionalFormatting>
  <conditionalFormatting sqref="L27">
    <cfRule type="cellIs" priority="281" operator="equal" aboveAverage="0" equalAverage="0" bottom="0" percent="0" rank="0" text="" dxfId="279">
      <formula>$AS$3</formula>
    </cfRule>
  </conditionalFormatting>
  <conditionalFormatting sqref="L27">
    <cfRule type="cellIs" priority="282" operator="equal" aboveAverage="0" equalAverage="0" bottom="0" percent="0" rank="0" text="" dxfId="280">
      <formula>$AS$3</formula>
    </cfRule>
  </conditionalFormatting>
  <conditionalFormatting sqref="L27">
    <cfRule type="cellIs" priority="283" operator="equal" aboveAverage="0" equalAverage="0" bottom="0" percent="0" rank="0" text="" dxfId="281">
      <formula>$AS$3</formula>
    </cfRule>
  </conditionalFormatting>
  <conditionalFormatting sqref="L27">
    <cfRule type="cellIs" priority="284" operator="equal" aboveAverage="0" equalAverage="0" bottom="0" percent="0" rank="0" text="" dxfId="282">
      <formula>$AS$3</formula>
    </cfRule>
  </conditionalFormatting>
  <conditionalFormatting sqref="L27">
    <cfRule type="cellIs" priority="285" operator="equal" aboveAverage="0" equalAverage="0" bottom="0" percent="0" rank="0" text="" dxfId="283">
      <formula>$AS$3</formula>
    </cfRule>
  </conditionalFormatting>
  <conditionalFormatting sqref="L27">
    <cfRule type="cellIs" priority="286" operator="equal" aboveAverage="0" equalAverage="0" bottom="0" percent="0" rank="0" text="" dxfId="284">
      <formula>$AS$3</formula>
    </cfRule>
  </conditionalFormatting>
  <conditionalFormatting sqref="L27">
    <cfRule type="cellIs" priority="287" operator="equal" aboveAverage="0" equalAverage="0" bottom="0" percent="0" rank="0" text="" dxfId="285">
      <formula>$AS$3</formula>
    </cfRule>
  </conditionalFormatting>
  <conditionalFormatting sqref="L27">
    <cfRule type="cellIs" priority="288" operator="equal" aboveAverage="0" equalAverage="0" bottom="0" percent="0" rank="0" text="" dxfId="286">
      <formula>$AS$3</formula>
    </cfRule>
  </conditionalFormatting>
  <conditionalFormatting sqref="L27">
    <cfRule type="cellIs" priority="289" operator="equal" aboveAverage="0" equalAverage="0" bottom="0" percent="0" rank="0" text="" dxfId="287">
      <formula>$AS$3</formula>
    </cfRule>
  </conditionalFormatting>
  <conditionalFormatting sqref="L27">
    <cfRule type="cellIs" priority="290" operator="equal" aboveAverage="0" equalAverage="0" bottom="0" percent="0" rank="0" text="" dxfId="288">
      <formula>$AS$3</formula>
    </cfRule>
  </conditionalFormatting>
  <conditionalFormatting sqref="L27">
    <cfRule type="cellIs" priority="291" operator="equal" aboveAverage="0" equalAverage="0" bottom="0" percent="0" rank="0" text="" dxfId="289">
      <formula>$AS$3</formula>
    </cfRule>
  </conditionalFormatting>
  <conditionalFormatting sqref="L27">
    <cfRule type="cellIs" priority="292" operator="equal" aboveAverage="0" equalAverage="0" bottom="0" percent="0" rank="0" text="" dxfId="290">
      <formula>$AS$3</formula>
    </cfRule>
  </conditionalFormatting>
  <conditionalFormatting sqref="D27">
    <cfRule type="cellIs" priority="293" operator="equal" aboveAverage="0" equalAverage="0" bottom="0" percent="0" rank="0" text="" dxfId="291">
      <formula>$AS$3</formula>
    </cfRule>
  </conditionalFormatting>
  <conditionalFormatting sqref="D27">
    <cfRule type="cellIs" priority="294" operator="equal" aboveAverage="0" equalAverage="0" bottom="0" percent="0" rank="0" text="" dxfId="292">
      <formula>$AS$3</formula>
    </cfRule>
  </conditionalFormatting>
  <conditionalFormatting sqref="D27">
    <cfRule type="cellIs" priority="295" operator="equal" aboveAverage="0" equalAverage="0" bottom="0" percent="0" rank="0" text="" dxfId="293">
      <formula>$AS$3</formula>
    </cfRule>
  </conditionalFormatting>
  <conditionalFormatting sqref="D27">
    <cfRule type="cellIs" priority="296" operator="equal" aboveAverage="0" equalAverage="0" bottom="0" percent="0" rank="0" text="" dxfId="294">
      <formula>$AS$3</formula>
    </cfRule>
  </conditionalFormatting>
  <conditionalFormatting sqref="D27">
    <cfRule type="cellIs" priority="297" operator="equal" aboveAverage="0" equalAverage="0" bottom="0" percent="0" rank="0" text="" dxfId="295">
      <formula>$AS$3</formula>
    </cfRule>
  </conditionalFormatting>
  <conditionalFormatting sqref="D27">
    <cfRule type="cellIs" priority="298" operator="equal" aboveAverage="0" equalAverage="0" bottom="0" percent="0" rank="0" text="" dxfId="296">
      <formula>$AS$3</formula>
    </cfRule>
  </conditionalFormatting>
  <conditionalFormatting sqref="D27">
    <cfRule type="cellIs" priority="299" operator="equal" aboveAverage="0" equalAverage="0" bottom="0" percent="0" rank="0" text="" dxfId="297">
      <formula>$AS$3</formula>
    </cfRule>
  </conditionalFormatting>
  <conditionalFormatting sqref="D27">
    <cfRule type="cellIs" priority="300" operator="equal" aboveAverage="0" equalAverage="0" bottom="0" percent="0" rank="0" text="" dxfId="298">
      <formula>$AS$3</formula>
    </cfRule>
  </conditionalFormatting>
  <conditionalFormatting sqref="D27">
    <cfRule type="cellIs" priority="301" operator="equal" aboveAverage="0" equalAverage="0" bottom="0" percent="0" rank="0" text="" dxfId="299">
      <formula>$AS$3</formula>
    </cfRule>
  </conditionalFormatting>
  <conditionalFormatting sqref="D27">
    <cfRule type="cellIs" priority="302" operator="equal" aboveAverage="0" equalAverage="0" bottom="0" percent="0" rank="0" text="" dxfId="300">
      <formula>$AS$3</formula>
    </cfRule>
  </conditionalFormatting>
  <conditionalFormatting sqref="D27">
    <cfRule type="cellIs" priority="303" operator="equal" aboveAverage="0" equalAverage="0" bottom="0" percent="0" rank="0" text="" dxfId="301">
      <formula>$AS$3</formula>
    </cfRule>
  </conditionalFormatting>
  <conditionalFormatting sqref="D27">
    <cfRule type="cellIs" priority="304" operator="equal" aboveAverage="0" equalAverage="0" bottom="0" percent="0" rank="0" text="" dxfId="302">
      <formula>$AS$3</formula>
    </cfRule>
  </conditionalFormatting>
  <conditionalFormatting sqref="D27">
    <cfRule type="cellIs" priority="305" operator="equal" aboveAverage="0" equalAverage="0" bottom="0" percent="0" rank="0" text="" dxfId="303">
      <formula>$AS$3</formula>
    </cfRule>
  </conditionalFormatting>
  <conditionalFormatting sqref="D27">
    <cfRule type="cellIs" priority="306" operator="equal" aboveAverage="0" equalAverage="0" bottom="0" percent="0" rank="0" text="" dxfId="304">
      <formula>$AS$3</formula>
    </cfRule>
  </conditionalFormatting>
  <conditionalFormatting sqref="D27">
    <cfRule type="cellIs" priority="307" operator="equal" aboveAverage="0" equalAverage="0" bottom="0" percent="0" rank="0" text="" dxfId="305">
      <formula>$AS$3</formula>
    </cfRule>
  </conditionalFormatting>
  <conditionalFormatting sqref="D27">
    <cfRule type="cellIs" priority="308" operator="equal" aboveAverage="0" equalAverage="0" bottom="0" percent="0" rank="0" text="" dxfId="306">
      <formula>$AS$3</formula>
    </cfRule>
  </conditionalFormatting>
  <conditionalFormatting sqref="D27">
    <cfRule type="cellIs" priority="309" operator="equal" aboveAverage="0" equalAverage="0" bottom="0" percent="0" rank="0" text="" dxfId="307">
      <formula>$AS$3</formula>
    </cfRule>
  </conditionalFormatting>
  <conditionalFormatting sqref="D27">
    <cfRule type="cellIs" priority="310" operator="equal" aboveAverage="0" equalAverage="0" bottom="0" percent="0" rank="0" text="" dxfId="308">
      <formula>$AS$3</formula>
    </cfRule>
  </conditionalFormatting>
  <conditionalFormatting sqref="D27">
    <cfRule type="cellIs" priority="311" operator="equal" aboveAverage="0" equalAverage="0" bottom="0" percent="0" rank="0" text="" dxfId="309">
      <formula>$AS$3</formula>
    </cfRule>
  </conditionalFormatting>
  <conditionalFormatting sqref="D27">
    <cfRule type="cellIs" priority="312" operator="equal" aboveAverage="0" equalAverage="0" bottom="0" percent="0" rank="0" text="" dxfId="310">
      <formula>$AS$3</formula>
    </cfRule>
  </conditionalFormatting>
  <conditionalFormatting sqref="D27">
    <cfRule type="cellIs" priority="313" operator="equal" aboveAverage="0" equalAverage="0" bottom="0" percent="0" rank="0" text="" dxfId="311">
      <formula>$AS$3</formula>
    </cfRule>
  </conditionalFormatting>
  <conditionalFormatting sqref="D27">
    <cfRule type="cellIs" priority="314" operator="equal" aboveAverage="0" equalAverage="0" bottom="0" percent="0" rank="0" text="" dxfId="312">
      <formula>$AS$3</formula>
    </cfRule>
  </conditionalFormatting>
  <conditionalFormatting sqref="D27">
    <cfRule type="cellIs" priority="315" operator="equal" aboveAverage="0" equalAverage="0" bottom="0" percent="0" rank="0" text="" dxfId="313">
      <formula>$AS$3</formula>
    </cfRule>
  </conditionalFormatting>
  <conditionalFormatting sqref="D27">
    <cfRule type="cellIs" priority="316" operator="equal" aboveAverage="0" equalAverage="0" bottom="0" percent="0" rank="0" text="" dxfId="314">
      <formula>$AS$3</formula>
    </cfRule>
  </conditionalFormatting>
  <conditionalFormatting sqref="D27">
    <cfRule type="cellIs" priority="317" operator="equal" aboveAverage="0" equalAverage="0" bottom="0" percent="0" rank="0" text="" dxfId="315">
      <formula>$AS$3</formula>
    </cfRule>
  </conditionalFormatting>
  <conditionalFormatting sqref="D27">
    <cfRule type="cellIs" priority="318" operator="equal" aboveAverage="0" equalAverage="0" bottom="0" percent="0" rank="0" text="" dxfId="316">
      <formula>$AS$3</formula>
    </cfRule>
  </conditionalFormatting>
  <conditionalFormatting sqref="D27">
    <cfRule type="cellIs" priority="319" operator="equal" aboveAverage="0" equalAverage="0" bottom="0" percent="0" rank="0" text="" dxfId="317">
      <formula>$AS$3</formula>
    </cfRule>
  </conditionalFormatting>
  <conditionalFormatting sqref="D27">
    <cfRule type="cellIs" priority="320" operator="equal" aboveAverage="0" equalAverage="0" bottom="0" percent="0" rank="0" text="" dxfId="318">
      <formula>$AS$3</formula>
    </cfRule>
  </conditionalFormatting>
  <conditionalFormatting sqref="D27">
    <cfRule type="cellIs" priority="321" operator="equal" aboveAverage="0" equalAverage="0" bottom="0" percent="0" rank="0" text="" dxfId="319">
      <formula>$AS$3</formula>
    </cfRule>
  </conditionalFormatting>
  <conditionalFormatting sqref="D27">
    <cfRule type="cellIs" priority="322" operator="equal" aboveAverage="0" equalAverage="0" bottom="0" percent="0" rank="0" text="" dxfId="320">
      <formula>$AS$3</formula>
    </cfRule>
  </conditionalFormatting>
  <conditionalFormatting sqref="D27">
    <cfRule type="cellIs" priority="323" operator="equal" aboveAverage="0" equalAverage="0" bottom="0" percent="0" rank="0" text="" dxfId="321">
      <formula>$AS$3</formula>
    </cfRule>
  </conditionalFormatting>
  <conditionalFormatting sqref="D27">
    <cfRule type="cellIs" priority="324" operator="equal" aboveAverage="0" equalAverage="0" bottom="0" percent="0" rank="0" text="" dxfId="322">
      <formula>$AS$3</formula>
    </cfRule>
  </conditionalFormatting>
  <conditionalFormatting sqref="AE27">
    <cfRule type="cellIs" priority="325" operator="equal" aboveAverage="0" equalAverage="0" bottom="0" percent="0" rank="0" text="" dxfId="323">
      <formula>$AS$3</formula>
    </cfRule>
  </conditionalFormatting>
  <conditionalFormatting sqref="AE27">
    <cfRule type="cellIs" priority="326" operator="equal" aboveAverage="0" equalAverage="0" bottom="0" percent="0" rank="0" text="" dxfId="324">
      <formula>$AS$3</formula>
    </cfRule>
  </conditionalFormatting>
  <conditionalFormatting sqref="AE27">
    <cfRule type="cellIs" priority="327" operator="equal" aboveAverage="0" equalAverage="0" bottom="0" percent="0" rank="0" text="" dxfId="325">
      <formula>$AS$3</formula>
    </cfRule>
  </conditionalFormatting>
  <conditionalFormatting sqref="AE27">
    <cfRule type="cellIs" priority="328" operator="equal" aboveAverage="0" equalAverage="0" bottom="0" percent="0" rank="0" text="" dxfId="326">
      <formula>$AS$3</formula>
    </cfRule>
  </conditionalFormatting>
  <conditionalFormatting sqref="N27">
    <cfRule type="cellIs" priority="329" operator="equal" aboveAverage="0" equalAverage="0" bottom="0" percent="0" rank="0" text="" dxfId="327">
      <formula>$AS$3</formula>
    </cfRule>
  </conditionalFormatting>
  <conditionalFormatting sqref="N27">
    <cfRule type="cellIs" priority="330" operator="equal" aboveAverage="0" equalAverage="0" bottom="0" percent="0" rank="0" text="" dxfId="328">
      <formula>$AS$3</formula>
    </cfRule>
  </conditionalFormatting>
  <conditionalFormatting sqref="N27">
    <cfRule type="cellIs" priority="331" operator="equal" aboveAverage="0" equalAverage="0" bottom="0" percent="0" rank="0" text="" dxfId="329">
      <formula>$AS$3</formula>
    </cfRule>
  </conditionalFormatting>
  <conditionalFormatting sqref="N27">
    <cfRule type="cellIs" priority="332" operator="equal" aboveAverage="0" equalAverage="0" bottom="0" percent="0" rank="0" text="" dxfId="330">
      <formula>$AS$3</formula>
    </cfRule>
  </conditionalFormatting>
  <conditionalFormatting sqref="N27">
    <cfRule type="cellIs" priority="333" operator="equal" aboveAverage="0" equalAverage="0" bottom="0" percent="0" rank="0" text="" dxfId="331">
      <formula>$AS$3</formula>
    </cfRule>
  </conditionalFormatting>
  <conditionalFormatting sqref="N27">
    <cfRule type="cellIs" priority="334" operator="equal" aboveAverage="0" equalAverage="0" bottom="0" percent="0" rank="0" text="" dxfId="332">
      <formula>$AS$3</formula>
    </cfRule>
  </conditionalFormatting>
  <conditionalFormatting sqref="N27">
    <cfRule type="cellIs" priority="335" operator="equal" aboveAverage="0" equalAverage="0" bottom="0" percent="0" rank="0" text="" dxfId="333">
      <formula>$AS$3</formula>
    </cfRule>
  </conditionalFormatting>
  <conditionalFormatting sqref="N27">
    <cfRule type="cellIs" priority="336" operator="equal" aboveAverage="0" equalAverage="0" bottom="0" percent="0" rank="0" text="" dxfId="334">
      <formula>$AS$3</formula>
    </cfRule>
  </conditionalFormatting>
  <conditionalFormatting sqref="K27">
    <cfRule type="cellIs" priority="337" operator="equal" aboveAverage="0" equalAverage="0" bottom="0" percent="0" rank="0" text="" dxfId="335">
      <formula>$AS$3</formula>
    </cfRule>
  </conditionalFormatting>
  <conditionalFormatting sqref="K27">
    <cfRule type="cellIs" priority="338" operator="equal" aboveAverage="0" equalAverage="0" bottom="0" percent="0" rank="0" text="" dxfId="336">
      <formula>$AS$3</formula>
    </cfRule>
  </conditionalFormatting>
  <conditionalFormatting sqref="K27">
    <cfRule type="cellIs" priority="339" operator="equal" aboveAverage="0" equalAverage="0" bottom="0" percent="0" rank="0" text="" dxfId="337">
      <formula>$AS$3</formula>
    </cfRule>
  </conditionalFormatting>
  <conditionalFormatting sqref="K27">
    <cfRule type="cellIs" priority="340" operator="equal" aboveAverage="0" equalAverage="0" bottom="0" percent="0" rank="0" text="" dxfId="338">
      <formula>$AS$3</formula>
    </cfRule>
  </conditionalFormatting>
  <conditionalFormatting sqref="K27">
    <cfRule type="cellIs" priority="341" operator="equal" aboveAverage="0" equalAverage="0" bottom="0" percent="0" rank="0" text="" dxfId="339">
      <formula>$AS$3</formula>
    </cfRule>
  </conditionalFormatting>
  <conditionalFormatting sqref="K27">
    <cfRule type="cellIs" priority="342" operator="equal" aboveAverage="0" equalAverage="0" bottom="0" percent="0" rank="0" text="" dxfId="340">
      <formula>$AS$3</formula>
    </cfRule>
  </conditionalFormatting>
  <conditionalFormatting sqref="K27">
    <cfRule type="cellIs" priority="343" operator="equal" aboveAverage="0" equalAverage="0" bottom="0" percent="0" rank="0" text="" dxfId="341">
      <formula>$AS$3</formula>
    </cfRule>
  </conditionalFormatting>
  <conditionalFormatting sqref="K27">
    <cfRule type="cellIs" priority="344" operator="equal" aboveAverage="0" equalAverage="0" bottom="0" percent="0" rank="0" text="" dxfId="342">
      <formula>$AS$3</formula>
    </cfRule>
  </conditionalFormatting>
  <conditionalFormatting sqref="F27">
    <cfRule type="cellIs" priority="345" operator="equal" aboveAverage="0" equalAverage="0" bottom="0" percent="0" rank="0" text="" dxfId="343">
      <formula>$AS$3</formula>
    </cfRule>
  </conditionalFormatting>
  <conditionalFormatting sqref="F27">
    <cfRule type="cellIs" priority="346" operator="equal" aboveAverage="0" equalAverage="0" bottom="0" percent="0" rank="0" text="" dxfId="344">
      <formula>$AS$3</formula>
    </cfRule>
  </conditionalFormatting>
  <conditionalFormatting sqref="F27">
    <cfRule type="cellIs" priority="347" operator="equal" aboveAverage="0" equalAverage="0" bottom="0" percent="0" rank="0" text="" dxfId="345">
      <formula>$AS$3</formula>
    </cfRule>
  </conditionalFormatting>
  <conditionalFormatting sqref="F27">
    <cfRule type="cellIs" priority="348" operator="equal" aboveAverage="0" equalAverage="0" bottom="0" percent="0" rank="0" text="" dxfId="346">
      <formula>$AS$3</formula>
    </cfRule>
  </conditionalFormatting>
  <conditionalFormatting sqref="F27">
    <cfRule type="cellIs" priority="349" operator="equal" aboveAverage="0" equalAverage="0" bottom="0" percent="0" rank="0" text="" dxfId="347">
      <formula>$AS$3</formula>
    </cfRule>
  </conditionalFormatting>
  <conditionalFormatting sqref="F27">
    <cfRule type="cellIs" priority="350" operator="equal" aboveAverage="0" equalAverage="0" bottom="0" percent="0" rank="0" text="" dxfId="348">
      <formula>$AS$3</formula>
    </cfRule>
  </conditionalFormatting>
  <conditionalFormatting sqref="F27">
    <cfRule type="cellIs" priority="351" operator="equal" aboveAverage="0" equalAverage="0" bottom="0" percent="0" rank="0" text="" dxfId="349">
      <formula>$AS$3</formula>
    </cfRule>
  </conditionalFormatting>
  <conditionalFormatting sqref="F27">
    <cfRule type="cellIs" priority="352" operator="equal" aboveAverage="0" equalAverage="0" bottom="0" percent="0" rank="0" text="" dxfId="350">
      <formula>$AS$3</formula>
    </cfRule>
  </conditionalFormatting>
  <conditionalFormatting sqref="AH27">
    <cfRule type="cellIs" priority="353" operator="equal" aboveAverage="0" equalAverage="0" bottom="0" percent="0" rank="0" text="" dxfId="351">
      <formula>$AS$3</formula>
    </cfRule>
  </conditionalFormatting>
  <conditionalFormatting sqref="AH27">
    <cfRule type="cellIs" priority="354" operator="equal" aboveAverage="0" equalAverage="0" bottom="0" percent="0" rank="0" text="" dxfId="352">
      <formula>$AS$3</formula>
    </cfRule>
  </conditionalFormatting>
  <conditionalFormatting sqref="AH27">
    <cfRule type="cellIs" priority="355" operator="equal" aboveAverage="0" equalAverage="0" bottom="0" percent="0" rank="0" text="" dxfId="353">
      <formula>$AS$3</formula>
    </cfRule>
  </conditionalFormatting>
  <conditionalFormatting sqref="AH27">
    <cfRule type="cellIs" priority="356" operator="equal" aboveAverage="0" equalAverage="0" bottom="0" percent="0" rank="0" text="" dxfId="354">
      <formula>$AS$3</formula>
    </cfRule>
  </conditionalFormatting>
  <conditionalFormatting sqref="AH27">
    <cfRule type="cellIs" priority="357" operator="equal" aboveAverage="0" equalAverage="0" bottom="0" percent="0" rank="0" text="" dxfId="355">
      <formula>$AS$3</formula>
    </cfRule>
  </conditionalFormatting>
  <conditionalFormatting sqref="AH27">
    <cfRule type="cellIs" priority="358" operator="equal" aboveAverage="0" equalAverage="0" bottom="0" percent="0" rank="0" text="" dxfId="356">
      <formula>$AS$3</formula>
    </cfRule>
  </conditionalFormatting>
  <conditionalFormatting sqref="AH27">
    <cfRule type="cellIs" priority="359" operator="equal" aboveAverage="0" equalAverage="0" bottom="0" percent="0" rank="0" text="" dxfId="357">
      <formula>$AS$3</formula>
    </cfRule>
  </conditionalFormatting>
  <conditionalFormatting sqref="AH27">
    <cfRule type="cellIs" priority="360" operator="equal" aboveAverage="0" equalAverage="0" bottom="0" percent="0" rank="0" text="" dxfId="358">
      <formula>$AS$3</formula>
    </cfRule>
  </conditionalFormatting>
  <conditionalFormatting sqref="AH27">
    <cfRule type="cellIs" priority="361" operator="equal" aboveAverage="0" equalAverage="0" bottom="0" percent="0" rank="0" text="" dxfId="359">
      <formula>$AS$3</formula>
    </cfRule>
  </conditionalFormatting>
  <conditionalFormatting sqref="AH27">
    <cfRule type="cellIs" priority="362" operator="equal" aboveAverage="0" equalAverage="0" bottom="0" percent="0" rank="0" text="" dxfId="360">
      <formula>$AS$3</formula>
    </cfRule>
  </conditionalFormatting>
  <conditionalFormatting sqref="AH27">
    <cfRule type="cellIs" priority="363" operator="equal" aboveAverage="0" equalAverage="0" bottom="0" percent="0" rank="0" text="" dxfId="361">
      <formula>$AS$3</formula>
    </cfRule>
  </conditionalFormatting>
  <conditionalFormatting sqref="AH27">
    <cfRule type="cellIs" priority="364" operator="equal" aboveAverage="0" equalAverage="0" bottom="0" percent="0" rank="0" text="" dxfId="362">
      <formula>$AS$3</formula>
    </cfRule>
  </conditionalFormatting>
  <conditionalFormatting sqref="AH27">
    <cfRule type="cellIs" priority="365" operator="equal" aboveAverage="0" equalAverage="0" bottom="0" percent="0" rank="0" text="" dxfId="363">
      <formula>$AS$3</formula>
    </cfRule>
  </conditionalFormatting>
  <conditionalFormatting sqref="AH27">
    <cfRule type="cellIs" priority="366" operator="equal" aboveAverage="0" equalAverage="0" bottom="0" percent="0" rank="0" text="" dxfId="364">
      <formula>$AS$3</formula>
    </cfRule>
  </conditionalFormatting>
  <conditionalFormatting sqref="AH27">
    <cfRule type="cellIs" priority="367" operator="equal" aboveAverage="0" equalAverage="0" bottom="0" percent="0" rank="0" text="" dxfId="365">
      <formula>$AS$3</formula>
    </cfRule>
  </conditionalFormatting>
  <conditionalFormatting sqref="AH27">
    <cfRule type="cellIs" priority="368" operator="equal" aboveAverage="0" equalAverage="0" bottom="0" percent="0" rank="0" text="" dxfId="366">
      <formula>$AS$3</formula>
    </cfRule>
  </conditionalFormatting>
  <conditionalFormatting sqref="AH27">
    <cfRule type="cellIs" priority="369" operator="equal" aboveAverage="0" equalAverage="0" bottom="0" percent="0" rank="0" text="" dxfId="367">
      <formula>$AS$3</formula>
    </cfRule>
  </conditionalFormatting>
  <conditionalFormatting sqref="AH27">
    <cfRule type="cellIs" priority="370" operator="equal" aboveAverage="0" equalAverage="0" bottom="0" percent="0" rank="0" text="" dxfId="368">
      <formula>$AS$3</formula>
    </cfRule>
  </conditionalFormatting>
  <conditionalFormatting sqref="AH27">
    <cfRule type="cellIs" priority="371" operator="equal" aboveAverage="0" equalAverage="0" bottom="0" percent="0" rank="0" text="" dxfId="369">
      <formula>$AS$3</formula>
    </cfRule>
  </conditionalFormatting>
  <conditionalFormatting sqref="AH27">
    <cfRule type="cellIs" priority="372" operator="equal" aboveAverage="0" equalAverage="0" bottom="0" percent="0" rank="0" text="" dxfId="370">
      <formula>$AS$3</formula>
    </cfRule>
  </conditionalFormatting>
  <conditionalFormatting sqref="AH27">
    <cfRule type="cellIs" priority="373" operator="equal" aboveAverage="0" equalAverage="0" bottom="0" percent="0" rank="0" text="" dxfId="371">
      <formula>$AS$3</formula>
    </cfRule>
  </conditionalFormatting>
  <conditionalFormatting sqref="AH27">
    <cfRule type="cellIs" priority="374" operator="equal" aboveAverage="0" equalAverage="0" bottom="0" percent="0" rank="0" text="" dxfId="372">
      <formula>$AS$3</formula>
    </cfRule>
  </conditionalFormatting>
  <conditionalFormatting sqref="AH27">
    <cfRule type="cellIs" priority="375" operator="equal" aboveAverage="0" equalAverage="0" bottom="0" percent="0" rank="0" text="" dxfId="373">
      <formula>$AS$3</formula>
    </cfRule>
  </conditionalFormatting>
  <conditionalFormatting sqref="AH27">
    <cfRule type="cellIs" priority="376" operator="equal" aboveAverage="0" equalAverage="0" bottom="0" percent="0" rank="0" text="" dxfId="374">
      <formula>$AS$3</formula>
    </cfRule>
  </conditionalFormatting>
  <conditionalFormatting sqref="AH27">
    <cfRule type="cellIs" priority="377" operator="equal" aboveAverage="0" equalAverage="0" bottom="0" percent="0" rank="0" text="" dxfId="375">
      <formula>$AS$3</formula>
    </cfRule>
  </conditionalFormatting>
  <conditionalFormatting sqref="AH27">
    <cfRule type="cellIs" priority="378" operator="equal" aboveAverage="0" equalAverage="0" bottom="0" percent="0" rank="0" text="" dxfId="376">
      <formula>$AS$3</formula>
    </cfRule>
  </conditionalFormatting>
  <conditionalFormatting sqref="AH27">
    <cfRule type="cellIs" priority="379" operator="equal" aboveAverage="0" equalAverage="0" bottom="0" percent="0" rank="0" text="" dxfId="377">
      <formula>$AS$3</formula>
    </cfRule>
  </conditionalFormatting>
  <conditionalFormatting sqref="AH27">
    <cfRule type="cellIs" priority="380" operator="equal" aboveAverage="0" equalAverage="0" bottom="0" percent="0" rank="0" text="" dxfId="378">
      <formula>$AS$3</formula>
    </cfRule>
  </conditionalFormatting>
  <conditionalFormatting sqref="AH27">
    <cfRule type="cellIs" priority="381" operator="equal" aboveAverage="0" equalAverage="0" bottom="0" percent="0" rank="0" text="" dxfId="379">
      <formula>$AS$3</formula>
    </cfRule>
  </conditionalFormatting>
  <conditionalFormatting sqref="AH27">
    <cfRule type="cellIs" priority="382" operator="equal" aboveAverage="0" equalAverage="0" bottom="0" percent="0" rank="0" text="" dxfId="380">
      <formula>$AS$3</formula>
    </cfRule>
  </conditionalFormatting>
  <conditionalFormatting sqref="AH27">
    <cfRule type="cellIs" priority="383" operator="equal" aboveAverage="0" equalAverage="0" bottom="0" percent="0" rank="0" text="" dxfId="381">
      <formula>$AS$3</formula>
    </cfRule>
  </conditionalFormatting>
  <conditionalFormatting sqref="AH27">
    <cfRule type="cellIs" priority="384" operator="equal" aboveAverage="0" equalAverage="0" bottom="0" percent="0" rank="0" text="" dxfId="382">
      <formula>$AS$3</formula>
    </cfRule>
  </conditionalFormatting>
  <conditionalFormatting sqref="AK27">
    <cfRule type="cellIs" priority="385" operator="equal" aboveAverage="0" equalAverage="0" bottom="0" percent="0" rank="0" text="" dxfId="383">
      <formula>$AS$3</formula>
    </cfRule>
  </conditionalFormatting>
  <conditionalFormatting sqref="AK27">
    <cfRule type="cellIs" priority="386" operator="equal" aboveAverage="0" equalAverage="0" bottom="0" percent="0" rank="0" text="" dxfId="384">
      <formula>$AS$3</formula>
    </cfRule>
  </conditionalFormatting>
  <conditionalFormatting sqref="AK27">
    <cfRule type="cellIs" priority="387" operator="equal" aboveAverage="0" equalAverage="0" bottom="0" percent="0" rank="0" text="" dxfId="385">
      <formula>$AS$3</formula>
    </cfRule>
  </conditionalFormatting>
  <conditionalFormatting sqref="AK27">
    <cfRule type="cellIs" priority="388" operator="equal" aboveAverage="0" equalAverage="0" bottom="0" percent="0" rank="0" text="" dxfId="386">
      <formula>$AS$3</formula>
    </cfRule>
  </conditionalFormatting>
  <conditionalFormatting sqref="AK27">
    <cfRule type="cellIs" priority="389" operator="equal" aboveAverage="0" equalAverage="0" bottom="0" percent="0" rank="0" text="" dxfId="387">
      <formula>$AS$3</formula>
    </cfRule>
  </conditionalFormatting>
  <conditionalFormatting sqref="AK27">
    <cfRule type="cellIs" priority="390" operator="equal" aboveAverage="0" equalAverage="0" bottom="0" percent="0" rank="0" text="" dxfId="388">
      <formula>$AS$3</formula>
    </cfRule>
  </conditionalFormatting>
  <conditionalFormatting sqref="AK27">
    <cfRule type="cellIs" priority="391" operator="equal" aboveAverage="0" equalAverage="0" bottom="0" percent="0" rank="0" text="" dxfId="389">
      <formula>$AS$3</formula>
    </cfRule>
  </conditionalFormatting>
  <conditionalFormatting sqref="AK27">
    <cfRule type="cellIs" priority="392" operator="equal" aboveAverage="0" equalAverage="0" bottom="0" percent="0" rank="0" text="" dxfId="390">
      <formula>$AS$3</formula>
    </cfRule>
  </conditionalFormatting>
  <conditionalFormatting sqref="AK27">
    <cfRule type="cellIs" priority="393" operator="equal" aboveAverage="0" equalAverage="0" bottom="0" percent="0" rank="0" text="" dxfId="391">
      <formula>$AS$3</formula>
    </cfRule>
  </conditionalFormatting>
  <conditionalFormatting sqref="AK27">
    <cfRule type="cellIs" priority="394" operator="equal" aboveAverage="0" equalAverage="0" bottom="0" percent="0" rank="0" text="" dxfId="392">
      <formula>$AS$3</formula>
    </cfRule>
  </conditionalFormatting>
  <conditionalFormatting sqref="AK27">
    <cfRule type="cellIs" priority="395" operator="equal" aboveAverage="0" equalAverage="0" bottom="0" percent="0" rank="0" text="" dxfId="393">
      <formula>$AS$3</formula>
    </cfRule>
  </conditionalFormatting>
  <conditionalFormatting sqref="AK27">
    <cfRule type="cellIs" priority="396" operator="equal" aboveAverage="0" equalAverage="0" bottom="0" percent="0" rank="0" text="" dxfId="394">
      <formula>$AS$3</formula>
    </cfRule>
  </conditionalFormatting>
  <conditionalFormatting sqref="AK27">
    <cfRule type="cellIs" priority="397" operator="equal" aboveAverage="0" equalAverage="0" bottom="0" percent="0" rank="0" text="" dxfId="395">
      <formula>$AS$3</formula>
    </cfRule>
  </conditionalFormatting>
  <conditionalFormatting sqref="AK27">
    <cfRule type="cellIs" priority="398" operator="equal" aboveAverage="0" equalAverage="0" bottom="0" percent="0" rank="0" text="" dxfId="396">
      <formula>$AS$3</formula>
    </cfRule>
  </conditionalFormatting>
  <conditionalFormatting sqref="AK27">
    <cfRule type="cellIs" priority="399" operator="equal" aboveAverage="0" equalAverage="0" bottom="0" percent="0" rank="0" text="" dxfId="397">
      <formula>$AS$3</formula>
    </cfRule>
  </conditionalFormatting>
  <conditionalFormatting sqref="AK27">
    <cfRule type="cellIs" priority="400" operator="equal" aboveAverage="0" equalAverage="0" bottom="0" percent="0" rank="0" text="" dxfId="398">
      <formula>$AS$3</formula>
    </cfRule>
  </conditionalFormatting>
  <conditionalFormatting sqref="AK27">
    <cfRule type="cellIs" priority="401" operator="equal" aboveAverage="0" equalAverage="0" bottom="0" percent="0" rank="0" text="" dxfId="399">
      <formula>$AS$3</formula>
    </cfRule>
  </conditionalFormatting>
  <conditionalFormatting sqref="AK27">
    <cfRule type="cellIs" priority="402" operator="equal" aboveAverage="0" equalAverage="0" bottom="0" percent="0" rank="0" text="" dxfId="400">
      <formula>$AS$3</formula>
    </cfRule>
  </conditionalFormatting>
  <conditionalFormatting sqref="AK27">
    <cfRule type="cellIs" priority="403" operator="equal" aboveAverage="0" equalAverage="0" bottom="0" percent="0" rank="0" text="" dxfId="401">
      <formula>$AS$3</formula>
    </cfRule>
  </conditionalFormatting>
  <conditionalFormatting sqref="AK27">
    <cfRule type="cellIs" priority="404" operator="equal" aboveAverage="0" equalAverage="0" bottom="0" percent="0" rank="0" text="" dxfId="402">
      <formula>$AS$3</formula>
    </cfRule>
  </conditionalFormatting>
  <conditionalFormatting sqref="AK27">
    <cfRule type="cellIs" priority="405" operator="equal" aboveAverage="0" equalAverage="0" bottom="0" percent="0" rank="0" text="" dxfId="403">
      <formula>$AS$3</formula>
    </cfRule>
  </conditionalFormatting>
  <conditionalFormatting sqref="AK27">
    <cfRule type="cellIs" priority="406" operator="equal" aboveAverage="0" equalAverage="0" bottom="0" percent="0" rank="0" text="" dxfId="404">
      <formula>$AS$3</formula>
    </cfRule>
  </conditionalFormatting>
  <conditionalFormatting sqref="AK27">
    <cfRule type="cellIs" priority="407" operator="equal" aboveAverage="0" equalAverage="0" bottom="0" percent="0" rank="0" text="" dxfId="405">
      <formula>$AS$3</formula>
    </cfRule>
  </conditionalFormatting>
  <conditionalFormatting sqref="AK27">
    <cfRule type="cellIs" priority="408" operator="equal" aboveAverage="0" equalAverage="0" bottom="0" percent="0" rank="0" text="" dxfId="406">
      <formula>$AS$3</formula>
    </cfRule>
  </conditionalFormatting>
  <conditionalFormatting sqref="AK27">
    <cfRule type="cellIs" priority="409" operator="equal" aboveAverage="0" equalAverage="0" bottom="0" percent="0" rank="0" text="" dxfId="407">
      <formula>$AS$3</formula>
    </cfRule>
  </conditionalFormatting>
  <conditionalFormatting sqref="AK27">
    <cfRule type="cellIs" priority="410" operator="equal" aboveAverage="0" equalAverage="0" bottom="0" percent="0" rank="0" text="" dxfId="408">
      <formula>$AS$3</formula>
    </cfRule>
  </conditionalFormatting>
  <conditionalFormatting sqref="AK27">
    <cfRule type="cellIs" priority="411" operator="equal" aboveAverage="0" equalAverage="0" bottom="0" percent="0" rank="0" text="" dxfId="409">
      <formula>$AS$3</formula>
    </cfRule>
  </conditionalFormatting>
  <conditionalFormatting sqref="AK27">
    <cfRule type="cellIs" priority="412" operator="equal" aboveAverage="0" equalAverage="0" bottom="0" percent="0" rank="0" text="" dxfId="410">
      <formula>$AS$3</formula>
    </cfRule>
  </conditionalFormatting>
  <conditionalFormatting sqref="AK27">
    <cfRule type="cellIs" priority="413" operator="equal" aboveAverage="0" equalAverage="0" bottom="0" percent="0" rank="0" text="" dxfId="411">
      <formula>$AS$3</formula>
    </cfRule>
  </conditionalFormatting>
  <conditionalFormatting sqref="AK27">
    <cfRule type="cellIs" priority="414" operator="equal" aboveAverage="0" equalAverage="0" bottom="0" percent="0" rank="0" text="" dxfId="412">
      <formula>$AS$3</formula>
    </cfRule>
  </conditionalFormatting>
  <conditionalFormatting sqref="AK27">
    <cfRule type="cellIs" priority="415" operator="equal" aboveAverage="0" equalAverage="0" bottom="0" percent="0" rank="0" text="" dxfId="413">
      <formula>$AS$3</formula>
    </cfRule>
  </conditionalFormatting>
  <conditionalFormatting sqref="AK27">
    <cfRule type="cellIs" priority="416" operator="equal" aboveAverage="0" equalAverage="0" bottom="0" percent="0" rank="0" text="" dxfId="414">
      <formula>$AS$3</formula>
    </cfRule>
  </conditionalFormatting>
  <conditionalFormatting sqref="AD27">
    <cfRule type="cellIs" priority="417" operator="equal" aboveAverage="0" equalAverage="0" bottom="0" percent="0" rank="0" text="" dxfId="415">
      <formula>$AS$3</formula>
    </cfRule>
  </conditionalFormatting>
  <conditionalFormatting sqref="AD27">
    <cfRule type="cellIs" priority="418" operator="equal" aboveAverage="0" equalAverage="0" bottom="0" percent="0" rank="0" text="" dxfId="416">
      <formula>$AS$3</formula>
    </cfRule>
  </conditionalFormatting>
  <conditionalFormatting sqref="AD27">
    <cfRule type="cellIs" priority="419" operator="equal" aboveAverage="0" equalAverage="0" bottom="0" percent="0" rank="0" text="" dxfId="417">
      <formula>$AS$3</formula>
    </cfRule>
  </conditionalFormatting>
  <conditionalFormatting sqref="AD27">
    <cfRule type="cellIs" priority="420" operator="equal" aboveAverage="0" equalAverage="0" bottom="0" percent="0" rank="0" text="" dxfId="418">
      <formula>$AS$3</formula>
    </cfRule>
  </conditionalFormatting>
  <conditionalFormatting sqref="AD27">
    <cfRule type="cellIs" priority="421" operator="equal" aboveAverage="0" equalAverage="0" bottom="0" percent="0" rank="0" text="" dxfId="419">
      <formula>$AS$3</formula>
    </cfRule>
  </conditionalFormatting>
  <conditionalFormatting sqref="AD27">
    <cfRule type="cellIs" priority="422" operator="equal" aboveAverage="0" equalAverage="0" bottom="0" percent="0" rank="0" text="" dxfId="420">
      <formula>$AS$3</formula>
    </cfRule>
  </conditionalFormatting>
  <conditionalFormatting sqref="AD27">
    <cfRule type="cellIs" priority="423" operator="equal" aboveAverage="0" equalAverage="0" bottom="0" percent="0" rank="0" text="" dxfId="421">
      <formula>$AS$3</formula>
    </cfRule>
  </conditionalFormatting>
  <conditionalFormatting sqref="AD27">
    <cfRule type="cellIs" priority="424" operator="equal" aboveAverage="0" equalAverage="0" bottom="0" percent="0" rank="0" text="" dxfId="422">
      <formula>$AS$3</formula>
    </cfRule>
  </conditionalFormatting>
  <conditionalFormatting sqref="AD27">
    <cfRule type="cellIs" priority="425" operator="equal" aboveAverage="0" equalAverage="0" bottom="0" percent="0" rank="0" text="" dxfId="423">
      <formula>$AS$3</formula>
    </cfRule>
  </conditionalFormatting>
  <conditionalFormatting sqref="AD27">
    <cfRule type="cellIs" priority="426" operator="equal" aboveAverage="0" equalAverage="0" bottom="0" percent="0" rank="0" text="" dxfId="424">
      <formula>$AS$3</formula>
    </cfRule>
  </conditionalFormatting>
  <conditionalFormatting sqref="AD27">
    <cfRule type="cellIs" priority="427" operator="equal" aboveAverage="0" equalAverage="0" bottom="0" percent="0" rank="0" text="" dxfId="425">
      <formula>$AS$3</formula>
    </cfRule>
  </conditionalFormatting>
  <conditionalFormatting sqref="AD27">
    <cfRule type="cellIs" priority="428" operator="equal" aboveAverage="0" equalAverage="0" bottom="0" percent="0" rank="0" text="" dxfId="426">
      <formula>$AS$3</formula>
    </cfRule>
  </conditionalFormatting>
  <conditionalFormatting sqref="AD27">
    <cfRule type="cellIs" priority="429" operator="equal" aboveAverage="0" equalAverage="0" bottom="0" percent="0" rank="0" text="" dxfId="427">
      <formula>$AS$3</formula>
    </cfRule>
  </conditionalFormatting>
  <conditionalFormatting sqref="AD27">
    <cfRule type="cellIs" priority="430" operator="equal" aboveAverage="0" equalAverage="0" bottom="0" percent="0" rank="0" text="" dxfId="428">
      <formula>$AS$3</formula>
    </cfRule>
  </conditionalFormatting>
  <conditionalFormatting sqref="AD27">
    <cfRule type="cellIs" priority="431" operator="equal" aboveAverage="0" equalAverage="0" bottom="0" percent="0" rank="0" text="" dxfId="429">
      <formula>$AS$3</formula>
    </cfRule>
  </conditionalFormatting>
  <conditionalFormatting sqref="AD27">
    <cfRule type="cellIs" priority="432" operator="equal" aboveAverage="0" equalAverage="0" bottom="0" percent="0" rank="0" text="" dxfId="430">
      <formula>$AS$3</formula>
    </cfRule>
  </conditionalFormatting>
  <conditionalFormatting sqref="AD27">
    <cfRule type="cellIs" priority="433" operator="equal" aboveAverage="0" equalAverage="0" bottom="0" percent="0" rank="0" text="" dxfId="431">
      <formula>$AS$3</formula>
    </cfRule>
  </conditionalFormatting>
  <conditionalFormatting sqref="AD27">
    <cfRule type="cellIs" priority="434" operator="equal" aboveAverage="0" equalAverage="0" bottom="0" percent="0" rank="0" text="" dxfId="432">
      <formula>$AS$3</formula>
    </cfRule>
  </conditionalFormatting>
  <conditionalFormatting sqref="AD27">
    <cfRule type="cellIs" priority="435" operator="equal" aboveAverage="0" equalAverage="0" bottom="0" percent="0" rank="0" text="" dxfId="433">
      <formula>$AS$3</formula>
    </cfRule>
  </conditionalFormatting>
  <conditionalFormatting sqref="AD27">
    <cfRule type="cellIs" priority="436" operator="equal" aboveAverage="0" equalAverage="0" bottom="0" percent="0" rank="0" text="" dxfId="434">
      <formula>$AS$3</formula>
    </cfRule>
  </conditionalFormatting>
  <conditionalFormatting sqref="AD27">
    <cfRule type="cellIs" priority="437" operator="equal" aboveAverage="0" equalAverage="0" bottom="0" percent="0" rank="0" text="" dxfId="435">
      <formula>$AS$3</formula>
    </cfRule>
  </conditionalFormatting>
  <conditionalFormatting sqref="AD27">
    <cfRule type="cellIs" priority="438" operator="equal" aboveAverage="0" equalAverage="0" bottom="0" percent="0" rank="0" text="" dxfId="436">
      <formula>$AS$3</formula>
    </cfRule>
  </conditionalFormatting>
  <conditionalFormatting sqref="AD27">
    <cfRule type="cellIs" priority="439" operator="equal" aboveAverage="0" equalAverage="0" bottom="0" percent="0" rank="0" text="" dxfId="437">
      <formula>$AS$3</formula>
    </cfRule>
  </conditionalFormatting>
  <conditionalFormatting sqref="AD27">
    <cfRule type="cellIs" priority="440" operator="equal" aboveAverage="0" equalAverage="0" bottom="0" percent="0" rank="0" text="" dxfId="438">
      <formula>$AS$3</formula>
    </cfRule>
  </conditionalFormatting>
  <conditionalFormatting sqref="AD27">
    <cfRule type="cellIs" priority="441" operator="equal" aboveAverage="0" equalAverage="0" bottom="0" percent="0" rank="0" text="" dxfId="439">
      <formula>$AS$3</formula>
    </cfRule>
  </conditionalFormatting>
  <conditionalFormatting sqref="AD27">
    <cfRule type="cellIs" priority="442" operator="equal" aboveAverage="0" equalAverage="0" bottom="0" percent="0" rank="0" text="" dxfId="440">
      <formula>$AS$3</formula>
    </cfRule>
  </conditionalFormatting>
  <conditionalFormatting sqref="AD27">
    <cfRule type="cellIs" priority="443" operator="equal" aboveAverage="0" equalAverage="0" bottom="0" percent="0" rank="0" text="" dxfId="441">
      <formula>$AS$3</formula>
    </cfRule>
  </conditionalFormatting>
  <conditionalFormatting sqref="AD27">
    <cfRule type="cellIs" priority="444" operator="equal" aboveAverage="0" equalAverage="0" bottom="0" percent="0" rank="0" text="" dxfId="442">
      <formula>$AS$3</formula>
    </cfRule>
  </conditionalFormatting>
  <conditionalFormatting sqref="AD27">
    <cfRule type="cellIs" priority="445" operator="equal" aboveAverage="0" equalAverage="0" bottom="0" percent="0" rank="0" text="" dxfId="443">
      <formula>$AS$3</formula>
    </cfRule>
  </conditionalFormatting>
  <conditionalFormatting sqref="AD27">
    <cfRule type="cellIs" priority="446" operator="equal" aboveAverage="0" equalAverage="0" bottom="0" percent="0" rank="0" text="" dxfId="444">
      <formula>$AS$3</formula>
    </cfRule>
  </conditionalFormatting>
  <conditionalFormatting sqref="AD27">
    <cfRule type="cellIs" priority="447" operator="equal" aboveAverage="0" equalAverage="0" bottom="0" percent="0" rank="0" text="" dxfId="445">
      <formula>$AS$3</formula>
    </cfRule>
  </conditionalFormatting>
  <conditionalFormatting sqref="AD27">
    <cfRule type="cellIs" priority="448" operator="equal" aboveAverage="0" equalAverage="0" bottom="0" percent="0" rank="0" text="" dxfId="446">
      <formula>$AS$3</formula>
    </cfRule>
  </conditionalFormatting>
  <conditionalFormatting sqref="M39">
    <cfRule type="cellIs" priority="449" operator="equal" aboveAverage="0" equalAverage="0" bottom="0" percent="0" rank="0" text="" dxfId="447">
      <formula>$AS$3</formula>
    </cfRule>
  </conditionalFormatting>
  <conditionalFormatting sqref="M39">
    <cfRule type="cellIs" priority="450" operator="equal" aboveAverage="0" equalAverage="0" bottom="0" percent="0" rank="0" text="" dxfId="448">
      <formula>$AS$3</formula>
    </cfRule>
  </conditionalFormatting>
  <conditionalFormatting sqref="M39">
    <cfRule type="cellIs" priority="451" operator="equal" aboveAverage="0" equalAverage="0" bottom="0" percent="0" rank="0" text="" dxfId="449">
      <formula>$AS$3</formula>
    </cfRule>
  </conditionalFormatting>
  <conditionalFormatting sqref="M39">
    <cfRule type="cellIs" priority="452" operator="equal" aboveAverage="0" equalAverage="0" bottom="0" percent="0" rank="0" text="" dxfId="450">
      <formula>$AS$3</formula>
    </cfRule>
  </conditionalFormatting>
  <conditionalFormatting sqref="AA40">
    <cfRule type="cellIs" priority="453" operator="equal" aboveAverage="0" equalAverage="0" bottom="0" percent="0" rank="0" text="" dxfId="451">
      <formula>$AS$3</formula>
    </cfRule>
  </conditionalFormatting>
  <conditionalFormatting sqref="AA40">
    <cfRule type="cellIs" priority="454" operator="equal" aboveAverage="0" equalAverage="0" bottom="0" percent="0" rank="0" text="" dxfId="452">
      <formula>$AS$3</formula>
    </cfRule>
  </conditionalFormatting>
  <conditionalFormatting sqref="AA40">
    <cfRule type="cellIs" priority="455" operator="equal" aboveAverage="0" equalAverage="0" bottom="0" percent="0" rank="0" text="" dxfId="453">
      <formula>$AS$3</formula>
    </cfRule>
  </conditionalFormatting>
  <conditionalFormatting sqref="AA40">
    <cfRule type="cellIs" priority="456" operator="equal" aboveAverage="0" equalAverage="0" bottom="0" percent="0" rank="0" text="" dxfId="454">
      <formula>$AS$3</formula>
    </cfRule>
  </conditionalFormatting>
  <conditionalFormatting sqref="AA40">
    <cfRule type="cellIs" priority="457" operator="equal" aboveAverage="0" equalAverage="0" bottom="0" percent="0" rank="0" text="" dxfId="455">
      <formula>$AS$3</formula>
    </cfRule>
  </conditionalFormatting>
  <conditionalFormatting sqref="AA40">
    <cfRule type="cellIs" priority="458" operator="equal" aboveAverage="0" equalAverage="0" bottom="0" percent="0" rank="0" text="" dxfId="456">
      <formula>$AS$3</formula>
    </cfRule>
  </conditionalFormatting>
  <conditionalFormatting sqref="AL27">
    <cfRule type="cellIs" priority="459" operator="equal" aboveAverage="0" equalAverage="0" bottom="0" percent="0" rank="0" text="" dxfId="457">
      <formula>$AS$3</formula>
    </cfRule>
  </conditionalFormatting>
  <conditionalFormatting sqref="AL27">
    <cfRule type="cellIs" priority="460" operator="equal" aboveAverage="0" equalAverage="0" bottom="0" percent="0" rank="0" text="" dxfId="458">
      <formula>$AS$3</formula>
    </cfRule>
  </conditionalFormatting>
  <conditionalFormatting sqref="AL27">
    <cfRule type="cellIs" priority="461" operator="equal" aboveAverage="0" equalAverage="0" bottom="0" percent="0" rank="0" text="" dxfId="459">
      <formula>$AS$3</formula>
    </cfRule>
  </conditionalFormatting>
  <conditionalFormatting sqref="AL27">
    <cfRule type="cellIs" priority="462" operator="equal" aboveAverage="0" equalAverage="0" bottom="0" percent="0" rank="0" text="" dxfId="460">
      <formula>$AS$3</formula>
    </cfRule>
  </conditionalFormatting>
  <conditionalFormatting sqref="AL27">
    <cfRule type="cellIs" priority="463" operator="equal" aboveAverage="0" equalAverage="0" bottom="0" percent="0" rank="0" text="" dxfId="461">
      <formula>$AS$3</formula>
    </cfRule>
  </conditionalFormatting>
  <conditionalFormatting sqref="AL27">
    <cfRule type="cellIs" priority="464" operator="equal" aboveAverage="0" equalAverage="0" bottom="0" percent="0" rank="0" text="" dxfId="462">
      <formula>$AS$3</formula>
    </cfRule>
  </conditionalFormatting>
  <conditionalFormatting sqref="AB27">
    <cfRule type="cellIs" priority="465" operator="equal" aboveAverage="0" equalAverage="0" bottom="0" percent="0" rank="0" text="" dxfId="463">
      <formula>$AS$3</formula>
    </cfRule>
  </conditionalFormatting>
  <conditionalFormatting sqref="AB27">
    <cfRule type="cellIs" priority="466" operator="equal" aboveAverage="0" equalAverage="0" bottom="0" percent="0" rank="0" text="" dxfId="464">
      <formula>$AS$3</formula>
    </cfRule>
  </conditionalFormatting>
  <conditionalFormatting sqref="AB27">
    <cfRule type="cellIs" priority="467" operator="equal" aboveAverage="0" equalAverage="0" bottom="0" percent="0" rank="0" text="" dxfId="465">
      <formula>$AS$3</formula>
    </cfRule>
  </conditionalFormatting>
  <conditionalFormatting sqref="AB27">
    <cfRule type="cellIs" priority="468" operator="equal" aboveAverage="0" equalAverage="0" bottom="0" percent="0" rank="0" text="" dxfId="466">
      <formula>$AS$3</formula>
    </cfRule>
  </conditionalFormatting>
  <conditionalFormatting sqref="AB27">
    <cfRule type="cellIs" priority="469" operator="equal" aboveAverage="0" equalAverage="0" bottom="0" percent="0" rank="0" text="" dxfId="467">
      <formula>$AS$3</formula>
    </cfRule>
  </conditionalFormatting>
  <conditionalFormatting sqref="AB27">
    <cfRule type="cellIs" priority="470" operator="equal" aboveAverage="0" equalAverage="0" bottom="0" percent="0" rank="0" text="" dxfId="468">
      <formula>$AS$3</formula>
    </cfRule>
  </conditionalFormatting>
  <conditionalFormatting sqref="W27">
    <cfRule type="cellIs" priority="471" operator="equal" aboveAverage="0" equalAverage="0" bottom="0" percent="0" rank="0" text="" dxfId="469">
      <formula>$AS$3</formula>
    </cfRule>
  </conditionalFormatting>
  <conditionalFormatting sqref="W27">
    <cfRule type="cellIs" priority="472" operator="equal" aboveAverage="0" equalAverage="0" bottom="0" percent="0" rank="0" text="" dxfId="470">
      <formula>$AS$3</formula>
    </cfRule>
  </conditionalFormatting>
  <conditionalFormatting sqref="W27">
    <cfRule type="cellIs" priority="473" operator="equal" aboveAverage="0" equalAverage="0" bottom="0" percent="0" rank="0" text="" dxfId="471">
      <formula>$AS$3</formula>
    </cfRule>
  </conditionalFormatting>
  <conditionalFormatting sqref="W27">
    <cfRule type="cellIs" priority="474" operator="equal" aboveAverage="0" equalAverage="0" bottom="0" percent="0" rank="0" text="" dxfId="472">
      <formula>$AS$3</formula>
    </cfRule>
  </conditionalFormatting>
  <conditionalFormatting sqref="W27">
    <cfRule type="cellIs" priority="475" operator="equal" aboveAverage="0" equalAverage="0" bottom="0" percent="0" rank="0" text="" dxfId="473">
      <formula>$AS$3</formula>
    </cfRule>
  </conditionalFormatting>
  <conditionalFormatting sqref="W27">
    <cfRule type="cellIs" priority="476" operator="equal" aboveAverage="0" equalAverage="0" bottom="0" percent="0" rank="0" text="" dxfId="474">
      <formula>$AS$3</formula>
    </cfRule>
  </conditionalFormatting>
  <conditionalFormatting sqref="O27">
    <cfRule type="cellIs" priority="477" operator="equal" aboveAverage="0" equalAverage="0" bottom="0" percent="0" rank="0" text="" dxfId="475">
      <formula>$AS$3</formula>
    </cfRule>
  </conditionalFormatting>
  <conditionalFormatting sqref="O27">
    <cfRule type="cellIs" priority="478" operator="equal" aboveAverage="0" equalAverage="0" bottom="0" percent="0" rank="0" text="" dxfId="476">
      <formula>$AS$3</formula>
    </cfRule>
  </conditionalFormatting>
  <conditionalFormatting sqref="O27">
    <cfRule type="cellIs" priority="479" operator="equal" aboveAverage="0" equalAverage="0" bottom="0" percent="0" rank="0" text="" dxfId="477">
      <formula>$AS$3</formula>
    </cfRule>
  </conditionalFormatting>
  <conditionalFormatting sqref="O27">
    <cfRule type="cellIs" priority="480" operator="equal" aboveAverage="0" equalAverage="0" bottom="0" percent="0" rank="0" text="" dxfId="478">
      <formula>$AS$3</formula>
    </cfRule>
  </conditionalFormatting>
  <conditionalFormatting sqref="O27">
    <cfRule type="cellIs" priority="481" operator="equal" aboveAverage="0" equalAverage="0" bottom="0" percent="0" rank="0" text="" dxfId="479">
      <formula>$AS$3</formula>
    </cfRule>
  </conditionalFormatting>
  <conditionalFormatting sqref="O27">
    <cfRule type="cellIs" priority="482" operator="equal" aboveAverage="0" equalAverage="0" bottom="0" percent="0" rank="0" text="" dxfId="480">
      <formula>$AS$3</formula>
    </cfRule>
  </conditionalFormatting>
  <conditionalFormatting sqref="E6">
    <cfRule type="cellIs" priority="483" operator="equal" aboveAverage="0" equalAverage="0" bottom="0" percent="0" rank="0" text="" dxfId="481">
      <formula>$AS$3</formula>
    </cfRule>
  </conditionalFormatting>
  <conditionalFormatting sqref="E6">
    <cfRule type="cellIs" priority="484" operator="equal" aboveAverage="0" equalAverage="0" bottom="0" percent="0" rank="0" text="" dxfId="482">
      <formula>$AS$3</formula>
    </cfRule>
  </conditionalFormatting>
  <conditionalFormatting sqref="H33">
    <cfRule type="cellIs" priority="485" operator="equal" aboveAverage="0" equalAverage="0" bottom="0" percent="0" rank="0" text="" dxfId="483">
      <formula>$AS$3</formula>
    </cfRule>
  </conditionalFormatting>
  <conditionalFormatting sqref="H33">
    <cfRule type="cellIs" priority="486" operator="equal" aboveAverage="0" equalAverage="0" bottom="0" percent="0" rank="0" text="" dxfId="484">
      <formula>$AS$3</formula>
    </cfRule>
  </conditionalFormatting>
  <conditionalFormatting sqref="H33">
    <cfRule type="cellIs" priority="487" operator="equal" aboveAverage="0" equalAverage="0" bottom="0" percent="0" rank="0" text="" dxfId="485">
      <formula>$AS$3</formula>
    </cfRule>
  </conditionalFormatting>
  <conditionalFormatting sqref="H33">
    <cfRule type="cellIs" priority="488" operator="equal" aboveAverage="0" equalAverage="0" bottom="0" percent="0" rank="0" text="" dxfId="486">
      <formula>$AS$3</formula>
    </cfRule>
  </conditionalFormatting>
  <conditionalFormatting sqref="H33">
    <cfRule type="cellIs" priority="489" operator="equal" aboveAverage="0" equalAverage="0" bottom="0" percent="0" rank="0" text="" dxfId="487">
      <formula>$AS$3</formula>
    </cfRule>
  </conditionalFormatting>
  <conditionalFormatting sqref="H33">
    <cfRule type="cellIs" priority="490" operator="equal" aboveAverage="0" equalAverage="0" bottom="0" percent="0" rank="0" text="" dxfId="488">
      <formula>$AS$3</formula>
    </cfRule>
  </conditionalFormatting>
  <conditionalFormatting sqref="AM27">
    <cfRule type="cellIs" priority="491" operator="equal" aboveAverage="0" equalAverage="0" bottom="0" percent="0" rank="0" text="" dxfId="489">
      <formula>$AS$3</formula>
    </cfRule>
  </conditionalFormatting>
  <conditionalFormatting sqref="AM27">
    <cfRule type="cellIs" priority="492" operator="equal" aboveAverage="0" equalAverage="0" bottom="0" percent="0" rank="0" text="" dxfId="490">
      <formula>$AS$3</formula>
    </cfRule>
  </conditionalFormatting>
  <conditionalFormatting sqref="AM27">
    <cfRule type="cellIs" priority="493" operator="equal" aboveAverage="0" equalAverage="0" bottom="0" percent="0" rank="0" text="" dxfId="491">
      <formula>$AS$3</formula>
    </cfRule>
  </conditionalFormatting>
  <conditionalFormatting sqref="AM27">
    <cfRule type="cellIs" priority="494" operator="equal" aboveAverage="0" equalAverage="0" bottom="0" percent="0" rank="0" text="" dxfId="492">
      <formula>$AS$3</formula>
    </cfRule>
  </conditionalFormatting>
  <conditionalFormatting sqref="AM27">
    <cfRule type="cellIs" priority="495" operator="equal" aboveAverage="0" equalAverage="0" bottom="0" percent="0" rank="0" text="" dxfId="493">
      <formula>$AS$3</formula>
    </cfRule>
  </conditionalFormatting>
  <conditionalFormatting sqref="AM27">
    <cfRule type="cellIs" priority="496" operator="equal" aboveAverage="0" equalAverage="0" bottom="0" percent="0" rank="0" text="" dxfId="494">
      <formula>$AS$3</formula>
    </cfRule>
  </conditionalFormatting>
  <conditionalFormatting sqref="V27">
    <cfRule type="cellIs" priority="497" operator="equal" aboveAverage="0" equalAverage="0" bottom="0" percent="0" rank="0" text="" dxfId="495">
      <formula>$AS$3</formula>
    </cfRule>
  </conditionalFormatting>
  <conditionalFormatting sqref="V27">
    <cfRule type="cellIs" priority="498" operator="equal" aboveAverage="0" equalAverage="0" bottom="0" percent="0" rank="0" text="" dxfId="496">
      <formula>$AS$3</formula>
    </cfRule>
  </conditionalFormatting>
  <conditionalFormatting sqref="V27">
    <cfRule type="cellIs" priority="499" operator="equal" aboveAverage="0" equalAverage="0" bottom="0" percent="0" rank="0" text="" dxfId="497">
      <formula>$AS$3</formula>
    </cfRule>
  </conditionalFormatting>
  <conditionalFormatting sqref="V27">
    <cfRule type="cellIs" priority="500" operator="equal" aboveAverage="0" equalAverage="0" bottom="0" percent="0" rank="0" text="" dxfId="498">
      <formula>$AS$3</formula>
    </cfRule>
  </conditionalFormatting>
  <conditionalFormatting sqref="V27">
    <cfRule type="cellIs" priority="501" operator="equal" aboveAverage="0" equalAverage="0" bottom="0" percent="0" rank="0" text="" dxfId="499">
      <formula>$AS$3</formula>
    </cfRule>
  </conditionalFormatting>
  <conditionalFormatting sqref="V27">
    <cfRule type="cellIs" priority="502" operator="equal" aboveAverage="0" equalAverage="0" bottom="0" percent="0" rank="0" text="" dxfId="500">
      <formula>$AS$3</formula>
    </cfRule>
  </conditionalFormatting>
  <conditionalFormatting sqref="AJ27 AC27 AA27 T27 M27 J27 G27 E27">
    <cfRule type="cellIs" priority="503" operator="equal" aboveAverage="0" equalAverage="0" bottom="0" percent="0" rank="0" text="" dxfId="501">
      <formula>$AS$3</formula>
    </cfRule>
    <cfRule type="cellIs" priority="504" operator="equal" aboveAverage="0" equalAverage="0" bottom="0" percent="0" rank="0" text="" dxfId="502">
      <formula>$AS$3</formula>
    </cfRule>
    <cfRule type="cellIs" priority="505" operator="equal" aboveAverage="0" equalAverage="0" bottom="0" percent="0" rank="0" text="" dxfId="503">
      <formula>$AS$3</formula>
    </cfRule>
    <cfRule type="cellIs" priority="506" operator="equal" aboveAverage="0" equalAverage="0" bottom="0" percent="0" rank="0" text="" dxfId="504">
      <formula>$AS$3</formula>
    </cfRule>
    <cfRule type="cellIs" priority="507" operator="equal" aboveAverage="0" equalAverage="0" bottom="0" percent="0" rank="0" text="" dxfId="505">
      <formula>$AS$3</formula>
    </cfRule>
    <cfRule type="cellIs" priority="508" operator="equal" aboveAverage="0" equalAverage="0" bottom="0" percent="0" rank="0" text="" dxfId="506">
      <formula>$AS$3</formula>
    </cfRule>
  </conditionalFormatting>
  <conditionalFormatting sqref="C13:AO13">
    <cfRule type="cellIs" priority="509" operator="equal" aboveAverage="0" equalAverage="0" bottom="0" percent="0" rank="0" text="" dxfId="507">
      <formula>$AS$3</formula>
    </cfRule>
    <cfRule type="cellIs" priority="510" operator="equal" aboveAverage="0" equalAverage="0" bottom="0" percent="0" rank="0" text="" dxfId="508">
      <formula>$AS$3</formula>
    </cfRule>
  </conditionalFormatting>
  <conditionalFormatting sqref="P13">
    <cfRule type="cellIs" priority="511" operator="equal" aboveAverage="0" equalAverage="0" bottom="0" percent="0" rank="0" text="" dxfId="509">
      <formula>$AS$3</formula>
    </cfRule>
  </conditionalFormatting>
  <conditionalFormatting sqref="O13">
    <cfRule type="cellIs" priority="512" operator="equal" aboveAverage="0" equalAverage="0" bottom="0" percent="0" rank="0" text="" dxfId="510">
      <formula>$AS$3</formula>
    </cfRule>
  </conditionalFormatting>
  <conditionalFormatting sqref="C13:N13 Q13:V13">
    <cfRule type="cellIs" priority="513" operator="equal" aboveAverage="0" equalAverage="0" bottom="0" percent="0" rank="0" text="" dxfId="511">
      <formula>$AS$3</formula>
    </cfRule>
  </conditionalFormatting>
  <conditionalFormatting sqref="Z13:AO13 W13:X13">
    <cfRule type="cellIs" priority="514" operator="equal" aboveAverage="0" equalAverage="0" bottom="0" percent="0" rank="0" text="" dxfId="512">
      <formula>$AS$3</formula>
    </cfRule>
  </conditionalFormatting>
  <conditionalFormatting sqref="AJ13">
    <cfRule type="cellIs" priority="515" operator="equal" aboveAverage="0" equalAverage="0" bottom="0" percent="0" rank="0" text="" dxfId="513">
      <formula>$AS$3</formula>
    </cfRule>
  </conditionalFormatting>
  <conditionalFormatting sqref="AJ13">
    <cfRule type="cellIs" priority="516" operator="equal" aboveAverage="0" equalAverage="0" bottom="0" percent="0" rank="0" text="" dxfId="514">
      <formula>$AS$3</formula>
    </cfRule>
  </conditionalFormatting>
  <conditionalFormatting sqref="AA13">
    <cfRule type="cellIs" priority="517" operator="equal" aboveAverage="0" equalAverage="0" bottom="0" percent="0" rank="0" text="" dxfId="515">
      <formula>$AS$3</formula>
    </cfRule>
  </conditionalFormatting>
  <conditionalFormatting sqref="AA13">
    <cfRule type="cellIs" priority="518" operator="equal" aboveAverage="0" equalAverage="0" bottom="0" percent="0" rank="0" text="" dxfId="516">
      <formula>$AS$3</formula>
    </cfRule>
  </conditionalFormatting>
  <conditionalFormatting sqref="U13">
    <cfRule type="cellIs" priority="519" operator="equal" aboveAverage="0" equalAverage="0" bottom="0" percent="0" rank="0" text="" dxfId="517">
      <formula>$AS$3</formula>
    </cfRule>
  </conditionalFormatting>
  <conditionalFormatting sqref="U13">
    <cfRule type="cellIs" priority="520" operator="equal" aboveAverage="0" equalAverage="0" bottom="0" percent="0" rank="0" text="" dxfId="518">
      <formula>$AS$3</formula>
    </cfRule>
  </conditionalFormatting>
  <conditionalFormatting sqref="M13">
    <cfRule type="cellIs" priority="521" operator="equal" aboveAverage="0" equalAverage="0" bottom="0" percent="0" rank="0" text="" dxfId="519">
      <formula>$AS$3</formula>
    </cfRule>
  </conditionalFormatting>
  <conditionalFormatting sqref="M13">
    <cfRule type="cellIs" priority="522" operator="equal" aboveAverage="0" equalAverage="0" bottom="0" percent="0" rank="0" text="" dxfId="520">
      <formula>$AS$3</formula>
    </cfRule>
  </conditionalFormatting>
  <conditionalFormatting sqref="C13:L13 N13:T13 V13:Z13 AB13:AI13 AK13:AO13">
    <cfRule type="cellIs" priority="523" operator="equal" aboveAverage="0" equalAverage="0" bottom="0" percent="0" rank="0" text="" dxfId="521">
      <formula>$AS$3</formula>
    </cfRule>
    <cfRule type="cellIs" priority="524" operator="equal" aboveAverage="0" equalAverage="0" bottom="0" percent="0" rank="0" text="" dxfId="522">
      <formula>$AS$3</formula>
    </cfRule>
  </conditionalFormatting>
  <conditionalFormatting sqref="S13">
    <cfRule type="cellIs" priority="525" operator="equal" aboveAverage="0" equalAverage="0" bottom="0" percent="0" rank="0" text="" dxfId="523">
      <formula>$AS$3</formula>
    </cfRule>
  </conditionalFormatting>
  <conditionalFormatting sqref="G13">
    <cfRule type="cellIs" priority="526" operator="equal" aboveAverage="0" equalAverage="0" bottom="0" percent="0" rank="0" text="" dxfId="524">
      <formula>$AS$3</formula>
    </cfRule>
  </conditionalFormatting>
  <conditionalFormatting sqref="E13">
    <cfRule type="cellIs" priority="527" operator="equal" aboveAverage="0" equalAverage="0" bottom="0" percent="0" rank="0" text="" dxfId="525">
      <formula>$AS$3</formula>
    </cfRule>
  </conditionalFormatting>
  <conditionalFormatting sqref="C13:D13">
    <cfRule type="cellIs" priority="528" operator="equal" aboveAverage="0" equalAverage="0" bottom="0" percent="0" rank="0" text="" dxfId="526">
      <formula>$AS$3</formula>
    </cfRule>
    <cfRule type="cellIs" priority="529" operator="equal" aboveAverage="0" equalAverage="0" bottom="0" percent="0" rank="0" text="" dxfId="527">
      <formula>$AS$3</formula>
    </cfRule>
    <cfRule type="cellIs" priority="530" operator="equal" aboveAverage="0" equalAverage="0" bottom="0" percent="0" rank="0" text="" dxfId="528">
      <formula>$AS$3</formula>
    </cfRule>
  </conditionalFormatting>
  <conditionalFormatting sqref="T13 AE13:AI13 H13:L13 N13:R13 V13:Z13 AB13:AC13 AK13:AO13">
    <cfRule type="cellIs" priority="531" operator="equal" aboveAverage="0" equalAverage="0" bottom="0" percent="0" rank="0" text="" dxfId="529">
      <formula>$AS$3</formula>
    </cfRule>
    <cfRule type="cellIs" priority="532" operator="equal" aboveAverage="0" equalAverage="0" bottom="0" percent="0" rank="0" text="" dxfId="530">
      <formula>$AS$3</formula>
    </cfRule>
  </conditionalFormatting>
  <conditionalFormatting sqref="AJ13">
    <cfRule type="cellIs" priority="533" operator="equal" aboveAverage="0" equalAverage="0" bottom="0" percent="0" rank="0" text="" dxfId="531">
      <formula>$AS$3</formula>
    </cfRule>
  </conditionalFormatting>
  <conditionalFormatting sqref="AJ13">
    <cfRule type="cellIs" priority="534" operator="equal" aboveAverage="0" equalAverage="0" bottom="0" percent="0" rank="0" text="" dxfId="532">
      <formula>$AS$3</formula>
    </cfRule>
  </conditionalFormatting>
  <conditionalFormatting sqref="AA13">
    <cfRule type="cellIs" priority="535" operator="equal" aboveAverage="0" equalAverage="0" bottom="0" percent="0" rank="0" text="" dxfId="533">
      <formula>$AS$3</formula>
    </cfRule>
  </conditionalFormatting>
  <conditionalFormatting sqref="AA13">
    <cfRule type="cellIs" priority="536" operator="equal" aboveAverage="0" equalAverage="0" bottom="0" percent="0" rank="0" text="" dxfId="534">
      <formula>$AS$3</formula>
    </cfRule>
  </conditionalFormatting>
  <conditionalFormatting sqref="U13">
    <cfRule type="cellIs" priority="537" operator="equal" aboveAverage="0" equalAverage="0" bottom="0" percent="0" rank="0" text="" dxfId="535">
      <formula>$AS$3</formula>
    </cfRule>
  </conditionalFormatting>
  <conditionalFormatting sqref="U13">
    <cfRule type="cellIs" priority="538" operator="equal" aboveAverage="0" equalAverage="0" bottom="0" percent="0" rank="0" text="" dxfId="536">
      <formula>$AS$3</formula>
    </cfRule>
  </conditionalFormatting>
  <conditionalFormatting sqref="M13">
    <cfRule type="cellIs" priority="539" operator="equal" aboveAverage="0" equalAverage="0" bottom="0" percent="0" rank="0" text="" dxfId="537">
      <formula>$AS$3</formula>
    </cfRule>
  </conditionalFormatting>
  <conditionalFormatting sqref="M13">
    <cfRule type="cellIs" priority="540" operator="equal" aboveAverage="0" equalAverage="0" bottom="0" percent="0" rank="0" text="" dxfId="538">
      <formula>$AS$3</formula>
    </cfRule>
  </conditionalFormatting>
  <conditionalFormatting sqref="S13">
    <cfRule type="cellIs" priority="541" operator="equal" aboveAverage="0" equalAverage="0" bottom="0" percent="0" rank="0" text="" dxfId="539">
      <formula>$AS$3</formula>
    </cfRule>
  </conditionalFormatting>
  <conditionalFormatting sqref="G13">
    <cfRule type="cellIs" priority="542" operator="equal" aboveAverage="0" equalAverage="0" bottom="0" percent="0" rank="0" text="" dxfId="540">
      <formula>$AS$3</formula>
    </cfRule>
  </conditionalFormatting>
  <conditionalFormatting sqref="E13">
    <cfRule type="cellIs" priority="543" operator="equal" aboveAverage="0" equalAverage="0" bottom="0" percent="0" rank="0" text="" dxfId="541">
      <formula>$AS$3</formula>
    </cfRule>
  </conditionalFormatting>
  <conditionalFormatting sqref="S13">
    <cfRule type="cellIs" priority="544" operator="equal" aboveAverage="0" equalAverage="0" bottom="0" percent="0" rank="0" text="" dxfId="542">
      <formula>$AS$3</formula>
    </cfRule>
  </conditionalFormatting>
  <conditionalFormatting sqref="G13">
    <cfRule type="cellIs" priority="545" operator="equal" aboveAverage="0" equalAverage="0" bottom="0" percent="0" rank="0" text="" dxfId="543">
      <formula>$AS$3</formula>
    </cfRule>
  </conditionalFormatting>
  <conditionalFormatting sqref="E13">
    <cfRule type="cellIs" priority="546" operator="equal" aboveAverage="0" equalAverage="0" bottom="0" percent="0" rank="0" text="" dxfId="544">
      <formula>$AS$3</formula>
    </cfRule>
  </conditionalFormatting>
  <conditionalFormatting sqref="T13:AC13 AE13:AO13 H13:R13">
    <cfRule type="cellIs" priority="547" operator="equal" aboveAverage="0" equalAverage="0" bottom="0" percent="0" rank="0" text="" dxfId="545">
      <formula>$AS$3</formula>
    </cfRule>
  </conditionalFormatting>
  <conditionalFormatting sqref="C25 J25:Z25 AH25:AO25">
    <cfRule type="cellIs" priority="548" operator="equal" aboveAverage="0" equalAverage="0" bottom="0" percent="0" rank="0" text="" dxfId="546">
      <formula>$AS$3</formula>
    </cfRule>
    <cfRule type="cellIs" priority="549" operator="equal" aboveAverage="0" equalAverage="0" bottom="0" percent="0" rank="0" text="" dxfId="547">
      <formula>$AS$3</formula>
    </cfRule>
    <cfRule type="cellIs" priority="550" operator="equal" aboveAverage="0" equalAverage="0" bottom="0" percent="0" rank="0" text="" dxfId="548">
      <formula>$AS$3</formula>
    </cfRule>
    <cfRule type="cellIs" priority="551" operator="equal" aboveAverage="0" equalAverage="0" bottom="0" percent="0" rank="0" text="" dxfId="549">
      <formula>$AS$3</formula>
    </cfRule>
    <cfRule type="cellIs" priority="552" operator="equal" aboveAverage="0" equalAverage="0" bottom="0" percent="0" rank="0" text="" dxfId="550">
      <formula>$AS$3</formula>
    </cfRule>
    <cfRule type="cellIs" priority="553" operator="equal" aboveAverage="0" equalAverage="0" bottom="0" percent="0" rank="0" text="" dxfId="551">
      <formula>$AS$3</formula>
    </cfRule>
    <cfRule type="cellIs" priority="554" operator="equal" aboveAverage="0" equalAverage="0" bottom="0" percent="0" rank="0" text="" dxfId="552">
      <formula>$AS$3</formula>
    </cfRule>
    <cfRule type="cellIs" priority="555" operator="equal" aboveAverage="0" equalAverage="0" bottom="0" percent="0" rank="0" text="" dxfId="553">
      <formula>$AS$3</formula>
    </cfRule>
  </conditionalFormatting>
  <conditionalFormatting sqref="AI25">
    <cfRule type="cellIs" priority="556" operator="equal" aboveAverage="0" equalAverage="0" bottom="0" percent="0" rank="0" text="" dxfId="554">
      <formula>$AS$3</formula>
    </cfRule>
  </conditionalFormatting>
  <conditionalFormatting sqref="AH25 AJ25:AO25 C25 J25:Z25">
    <cfRule type="cellIs" priority="557" operator="equal" aboveAverage="0" equalAverage="0" bottom="0" percent="0" rank="0" text="" dxfId="555">
      <formula>$AS$3</formula>
    </cfRule>
    <cfRule type="cellIs" priority="558" operator="equal" aboveAverage="0" equalAverage="0" bottom="0" percent="0" rank="0" text="" dxfId="556">
      <formula>$AS$3</formula>
    </cfRule>
    <cfRule type="cellIs" priority="559" operator="equal" aboveAverage="0" equalAverage="0" bottom="0" percent="0" rank="0" text="" dxfId="557">
      <formula>$AS$3</formula>
    </cfRule>
    <cfRule type="cellIs" priority="560" operator="equal" aboveAverage="0" equalAverage="0" bottom="0" percent="0" rank="0" text="" dxfId="558">
      <formula>$AS$3</formula>
    </cfRule>
    <cfRule type="cellIs" priority="561" operator="equal" aboveAverage="0" equalAverage="0" bottom="0" percent="0" rank="0" text="" dxfId="559">
      <formula>$AS$3</formula>
    </cfRule>
    <cfRule type="cellIs" priority="562" operator="equal" aboveAverage="0" equalAverage="0" bottom="0" percent="0" rank="0" text="" dxfId="560">
      <formula>$AS$3</formula>
    </cfRule>
    <cfRule type="cellIs" priority="563" operator="equal" aboveAverage="0" equalAverage="0" bottom="0" percent="0" rank="0" text="" dxfId="561">
      <formula>$AS$3</formula>
    </cfRule>
    <cfRule type="cellIs" priority="564" operator="equal" aboveAverage="0" equalAverage="0" bottom="0" percent="0" rank="0" text="" dxfId="562">
      <formula>$AS$3</formula>
    </cfRule>
  </conditionalFormatting>
  <conditionalFormatting sqref="C25:AO25">
    <cfRule type="cellIs" priority="565" operator="equal" aboveAverage="0" equalAverage="0" bottom="0" percent="0" rank="0" text="" dxfId="563">
      <formula>$AS$3</formula>
    </cfRule>
    <cfRule type="cellIs" priority="566" operator="equal" aboveAverage="0" equalAverage="0" bottom="0" percent="0" rank="0" text="" dxfId="564">
      <formula>$AS$3</formula>
    </cfRule>
    <cfRule type="cellIs" priority="567" operator="equal" aboveAverage="0" equalAverage="0" bottom="0" percent="0" rank="0" text="" dxfId="565">
      <formula>$AS$3</formula>
    </cfRule>
    <cfRule type="cellIs" priority="568" operator="equal" aboveAverage="0" equalAverage="0" bottom="0" percent="0" rank="0" text="" dxfId="566">
      <formula>$AS$3</formula>
    </cfRule>
    <cfRule type="cellIs" priority="569" operator="equal" aboveAverage="0" equalAverage="0" bottom="0" percent="0" rank="0" text="" dxfId="567">
      <formula>$AS$3</formula>
    </cfRule>
    <cfRule type="cellIs" priority="570" operator="equal" aboveAverage="0" equalAverage="0" bottom="0" percent="0" rank="0" text="" dxfId="568">
      <formula>$AS$3</formula>
    </cfRule>
    <cfRule type="cellIs" priority="571" operator="equal" aboveAverage="0" equalAverage="0" bottom="0" percent="0" rank="0" text="" dxfId="569">
      <formula>$AS$3</formula>
    </cfRule>
    <cfRule type="cellIs" priority="572" operator="equal" aboveAverage="0" equalAverage="0" bottom="0" percent="0" rank="0" text="" dxfId="570">
      <formula>$AS$3</formula>
    </cfRule>
    <cfRule type="cellIs" priority="573" operator="equal" aboveAverage="0" equalAverage="0" bottom="0" percent="0" rank="0" text="" dxfId="571">
      <formula>$AS$3</formula>
    </cfRule>
    <cfRule type="cellIs" priority="574" operator="equal" aboveAverage="0" equalAverage="0" bottom="0" percent="0" rank="0" text="" dxfId="572">
      <formula>$AS$3</formula>
    </cfRule>
    <cfRule type="cellIs" priority="575" operator="equal" aboveAverage="0" equalAverage="0" bottom="0" percent="0" rank="0" text="" dxfId="573">
      <formula>$AS$3</formula>
    </cfRule>
    <cfRule type="cellIs" priority="576" operator="equal" aboveAverage="0" equalAverage="0" bottom="0" percent="0" rank="0" text="" dxfId="574">
      <formula>$AS$3</formula>
    </cfRule>
    <cfRule type="cellIs" priority="577" operator="equal" aboveAverage="0" equalAverage="0" bottom="0" percent="0" rank="0" text="" dxfId="575">
      <formula>$AS$3</formula>
    </cfRule>
    <cfRule type="cellIs" priority="578" operator="equal" aboveAverage="0" equalAverage="0" bottom="0" percent="0" rank="0" text="" dxfId="576">
      <formula>$AS$3</formula>
    </cfRule>
    <cfRule type="cellIs" priority="579" operator="equal" aboveAverage="0" equalAverage="0" bottom="0" percent="0" rank="0" text="" dxfId="577">
      <formula>$AS$3</formula>
    </cfRule>
    <cfRule type="cellIs" priority="580" operator="equal" aboveAverage="0" equalAverage="0" bottom="0" percent="0" rank="0" text="" dxfId="578">
      <formula>$AS$3</formula>
    </cfRule>
    <cfRule type="cellIs" priority="581" operator="equal" aboveAverage="0" equalAverage="0" bottom="0" percent="0" rank="0" text="" dxfId="579">
      <formula>$AS$3</formula>
    </cfRule>
    <cfRule type="cellIs" priority="582" operator="equal" aboveAverage="0" equalAverage="0" bottom="0" percent="0" rank="0" text="" dxfId="580">
      <formula>$AS$3</formula>
    </cfRule>
    <cfRule type="cellIs" priority="583" operator="equal" aboveAverage="0" equalAverage="0" bottom="0" percent="0" rank="0" text="" dxfId="581">
      <formula>$AS$3</formula>
    </cfRule>
    <cfRule type="cellIs" priority="584" operator="equal" aboveAverage="0" equalAverage="0" bottom="0" percent="0" rank="0" text="" dxfId="582">
      <formula>$AS$3</formula>
    </cfRule>
    <cfRule type="cellIs" priority="585" operator="equal" aboveAverage="0" equalAverage="0" bottom="0" percent="0" rank="0" text="" dxfId="583">
      <formula>$AS$3</formula>
    </cfRule>
    <cfRule type="cellIs" priority="586" operator="equal" aboveAverage="0" equalAverage="0" bottom="0" percent="0" rank="0" text="" dxfId="584">
      <formula>$AS$3</formula>
    </cfRule>
    <cfRule type="cellIs" priority="587" operator="equal" aboveAverage="0" equalAverage="0" bottom="0" percent="0" rank="0" text="" dxfId="585">
      <formula>$AS$3</formula>
    </cfRule>
    <cfRule type="cellIs" priority="588" operator="equal" aboveAverage="0" equalAverage="0" bottom="0" percent="0" rank="0" text="" dxfId="586">
      <formula>$AS$3</formula>
    </cfRule>
    <cfRule type="cellIs" priority="589" operator="equal" aboveAverage="0" equalAverage="0" bottom="0" percent="0" rank="0" text="" dxfId="587">
      <formula>$AS$3</formula>
    </cfRule>
    <cfRule type="cellIs" priority="590" operator="equal" aboveAverage="0" equalAverage="0" bottom="0" percent="0" rank="0" text="" dxfId="588">
      <formula>$AS$3</formula>
    </cfRule>
    <cfRule type="cellIs" priority="591" operator="equal" aboveAverage="0" equalAverage="0" bottom="0" percent="0" rank="0" text="" dxfId="589">
      <formula>$AS$3</formula>
    </cfRule>
    <cfRule type="cellIs" priority="592" operator="equal" aboveAverage="0" equalAverage="0" bottom="0" percent="0" rank="0" text="" dxfId="590">
      <formula>$AS$3</formula>
    </cfRule>
    <cfRule type="cellIs" priority="593" operator="equal" aboveAverage="0" equalAverage="0" bottom="0" percent="0" rank="0" text="" dxfId="591">
      <formula>$AS$3</formula>
    </cfRule>
    <cfRule type="cellIs" priority="594" operator="equal" aboveAverage="0" equalAverage="0" bottom="0" percent="0" rank="0" text="" dxfId="592">
      <formula>$AS$3</formula>
    </cfRule>
  </conditionalFormatting>
  <conditionalFormatting sqref="P25">
    <cfRule type="cellIs" priority="595" operator="equal" aboveAverage="0" equalAverage="0" bottom="0" percent="0" rank="0" text="" dxfId="593">
      <formula>$AS$3</formula>
    </cfRule>
  </conditionalFormatting>
  <conditionalFormatting sqref="O25">
    <cfRule type="cellIs" priority="596" operator="equal" aboveAverage="0" equalAverage="0" bottom="0" percent="0" rank="0" text="" dxfId="594">
      <formula>$AS$3</formula>
    </cfRule>
  </conditionalFormatting>
  <conditionalFormatting sqref="C25:N25 Q25:V25">
    <cfRule type="cellIs" priority="597" operator="equal" aboveAverage="0" equalAverage="0" bottom="0" percent="0" rank="0" text="" dxfId="595">
      <formula>$AS$3</formula>
    </cfRule>
    <cfRule type="cellIs" priority="598" operator="equal" aboveAverage="0" equalAverage="0" bottom="0" percent="0" rank="0" text="" dxfId="596">
      <formula>$AS$3</formula>
    </cfRule>
    <cfRule type="cellIs" priority="599" operator="equal" aboveAverage="0" equalAverage="0" bottom="0" percent="0" rank="0" text="" dxfId="597">
      <formula>$AS$3</formula>
    </cfRule>
    <cfRule type="cellIs" priority="600" operator="equal" aboveAverage="0" equalAverage="0" bottom="0" percent="0" rank="0" text="" dxfId="598">
      <formula>$AS$3</formula>
    </cfRule>
    <cfRule type="cellIs" priority="601" operator="equal" aboveAverage="0" equalAverage="0" bottom="0" percent="0" rank="0" text="" dxfId="599">
      <formula>$AS$3</formula>
    </cfRule>
    <cfRule type="cellIs" priority="602" operator="equal" aboveAverage="0" equalAverage="0" bottom="0" percent="0" rank="0" text="" dxfId="600">
      <formula>$AS$3</formula>
    </cfRule>
  </conditionalFormatting>
  <conditionalFormatting sqref="Z25:AO25 W25:X25">
    <cfRule type="cellIs" priority="603" operator="equal" aboveAverage="0" equalAverage="0" bottom="0" percent="0" rank="0" text="" dxfId="601">
      <formula>$AS$3</formula>
    </cfRule>
    <cfRule type="cellIs" priority="604" operator="equal" aboveAverage="0" equalAverage="0" bottom="0" percent="0" rank="0" text="" dxfId="602">
      <formula>$AS$3</formula>
    </cfRule>
    <cfRule type="cellIs" priority="605" operator="equal" aboveAverage="0" equalAverage="0" bottom="0" percent="0" rank="0" text="" dxfId="603">
      <formula>$AS$3</formula>
    </cfRule>
    <cfRule type="cellIs" priority="606" operator="equal" aboveAverage="0" equalAverage="0" bottom="0" percent="0" rank="0" text="" dxfId="604">
      <formula>$AS$3</formula>
    </cfRule>
    <cfRule type="cellIs" priority="607" operator="equal" aboveAverage="0" equalAverage="0" bottom="0" percent="0" rank="0" text="" dxfId="605">
      <formula>$AS$3</formula>
    </cfRule>
    <cfRule type="cellIs" priority="608" operator="equal" aboveAverage="0" equalAverage="0" bottom="0" percent="0" rank="0" text="" dxfId="606">
      <formula>$AS$3</formula>
    </cfRule>
  </conditionalFormatting>
  <conditionalFormatting sqref="P25">
    <cfRule type="cellIs" priority="609" operator="equal" aboveAverage="0" equalAverage="0" bottom="0" percent="0" rank="0" text="" dxfId="607">
      <formula>$AS$3</formula>
    </cfRule>
  </conditionalFormatting>
  <conditionalFormatting sqref="O25">
    <cfRule type="cellIs" priority="610" operator="equal" aboveAverage="0" equalAverage="0" bottom="0" percent="0" rank="0" text="" dxfId="608">
      <formula>$AS$3</formula>
    </cfRule>
  </conditionalFormatting>
  <conditionalFormatting sqref="AJ25">
    <cfRule type="cellIs" priority="611" operator="equal" aboveAverage="0" equalAverage="0" bottom="0" percent="0" rank="0" text="" dxfId="609">
      <formula>$AS$3</formula>
    </cfRule>
  </conditionalFormatting>
  <conditionalFormatting sqref="AJ25">
    <cfRule type="cellIs" priority="612" operator="equal" aboveAverage="0" equalAverage="0" bottom="0" percent="0" rank="0" text="" dxfId="610">
      <formula>$AS$3</formula>
    </cfRule>
  </conditionalFormatting>
  <conditionalFormatting sqref="AA25">
    <cfRule type="cellIs" priority="613" operator="equal" aboveAverage="0" equalAverage="0" bottom="0" percent="0" rank="0" text="" dxfId="611">
      <formula>$AS$3</formula>
    </cfRule>
  </conditionalFormatting>
  <conditionalFormatting sqref="AA25">
    <cfRule type="cellIs" priority="614" operator="equal" aboveAverage="0" equalAverage="0" bottom="0" percent="0" rank="0" text="" dxfId="612">
      <formula>$AS$3</formula>
    </cfRule>
  </conditionalFormatting>
  <conditionalFormatting sqref="U25">
    <cfRule type="cellIs" priority="615" operator="equal" aboveAverage="0" equalAverage="0" bottom="0" percent="0" rank="0" text="" dxfId="613">
      <formula>$AS$3</formula>
    </cfRule>
  </conditionalFormatting>
  <conditionalFormatting sqref="U25">
    <cfRule type="cellIs" priority="616" operator="equal" aboveAverage="0" equalAverage="0" bottom="0" percent="0" rank="0" text="" dxfId="614">
      <formula>$AS$3</formula>
    </cfRule>
  </conditionalFormatting>
  <conditionalFormatting sqref="M25">
    <cfRule type="cellIs" priority="617" operator="equal" aboveAverage="0" equalAverage="0" bottom="0" percent="0" rank="0" text="" dxfId="615">
      <formula>$AS$3</formula>
    </cfRule>
  </conditionalFormatting>
  <conditionalFormatting sqref="M25">
    <cfRule type="cellIs" priority="618" operator="equal" aboveAverage="0" equalAverage="0" bottom="0" percent="0" rank="0" text="" dxfId="616">
      <formula>$AS$3</formula>
    </cfRule>
  </conditionalFormatting>
  <conditionalFormatting sqref="C25:L25 N25:T25 V25:Z25 AB25:AI25 AK25:AO25">
    <cfRule type="cellIs" priority="619" operator="equal" aboveAverage="0" equalAverage="0" bottom="0" percent="0" rank="0" text="" dxfId="617">
      <formula>$AS$3</formula>
    </cfRule>
    <cfRule type="cellIs" priority="620" operator="equal" aboveAverage="0" equalAverage="0" bottom="0" percent="0" rank="0" text="" dxfId="618">
      <formula>$AS$3</formula>
    </cfRule>
  </conditionalFormatting>
  <conditionalFormatting sqref="S25">
    <cfRule type="cellIs" priority="621" operator="equal" aboveAverage="0" equalAverage="0" bottom="0" percent="0" rank="0" text="" dxfId="619">
      <formula>$AS$3</formula>
    </cfRule>
  </conditionalFormatting>
  <conditionalFormatting sqref="G25">
    <cfRule type="cellIs" priority="622" operator="equal" aboveAverage="0" equalAverage="0" bottom="0" percent="0" rank="0" text="" dxfId="620">
      <formula>$AS$3</formula>
    </cfRule>
  </conditionalFormatting>
  <conditionalFormatting sqref="E25">
    <cfRule type="cellIs" priority="623" operator="equal" aboveAverage="0" equalAverage="0" bottom="0" percent="0" rank="0" text="" dxfId="621">
      <formula>$AS$3</formula>
    </cfRule>
  </conditionalFormatting>
  <conditionalFormatting sqref="C25:D25">
    <cfRule type="cellIs" priority="624" operator="equal" aboveAverage="0" equalAverage="0" bottom="0" percent="0" rank="0" text="" dxfId="622">
      <formula>$AS$3</formula>
    </cfRule>
    <cfRule type="cellIs" priority="625" operator="equal" aboveAverage="0" equalAverage="0" bottom="0" percent="0" rank="0" text="" dxfId="623">
      <formula>$AS$3</formula>
    </cfRule>
  </conditionalFormatting>
  <conditionalFormatting sqref="T25 AE25:AI25 H25:L25 N25:R25 V25:Z25 AB25:AC25 AK25:AO25">
    <cfRule type="cellIs" priority="626" operator="equal" aboveAverage="0" equalAverage="0" bottom="0" percent="0" rank="0" text="" dxfId="624">
      <formula>$AS$3</formula>
    </cfRule>
    <cfRule type="cellIs" priority="627" operator="equal" aboveAverage="0" equalAverage="0" bottom="0" percent="0" rank="0" text="" dxfId="625">
      <formula>$AS$3</formula>
    </cfRule>
  </conditionalFormatting>
  <conditionalFormatting sqref="C26:AO26">
    <cfRule type="cellIs" priority="628" operator="equal" aboveAverage="0" equalAverage="0" bottom="0" percent="0" rank="0" text="" dxfId="626">
      <formula>$AS$3</formula>
    </cfRule>
    <cfRule type="cellIs" priority="629" operator="equal" aboveAverage="0" equalAverage="0" bottom="0" percent="0" rank="0" text="" dxfId="627">
      <formula>$AS$3</formula>
    </cfRule>
    <cfRule type="cellIs" priority="630" operator="equal" aboveAverage="0" equalAverage="0" bottom="0" percent="0" rank="0" text="" dxfId="628">
      <formula>$AS$3</formula>
    </cfRule>
    <cfRule type="cellIs" priority="631" operator="equal" aboveAverage="0" equalAverage="0" bottom="0" percent="0" rank="0" text="" dxfId="629">
      <formula>$AS$3</formula>
    </cfRule>
    <cfRule type="cellIs" priority="632" operator="equal" aboveAverage="0" equalAverage="0" bottom="0" percent="0" rank="0" text="" dxfId="630">
      <formula>$AS$3</formula>
    </cfRule>
    <cfRule type="cellIs" priority="633" operator="equal" aboveAverage="0" equalAverage="0" bottom="0" percent="0" rank="0" text="" dxfId="631">
      <formula>$AS$3</formula>
    </cfRule>
    <cfRule type="cellIs" priority="634" operator="equal" aboveAverage="0" equalAverage="0" bottom="0" percent="0" rank="0" text="" dxfId="632">
      <formula>$AS$3</formula>
    </cfRule>
    <cfRule type="cellIs" priority="635" operator="equal" aboveAverage="0" equalAverage="0" bottom="0" percent="0" rank="0" text="" dxfId="633">
      <formula>$AS$3</formula>
    </cfRule>
    <cfRule type="cellIs" priority="636" operator="equal" aboveAverage="0" equalAverage="0" bottom="0" percent="0" rank="0" text="" dxfId="634">
      <formula>$AS$3</formula>
    </cfRule>
    <cfRule type="cellIs" priority="637" operator="equal" aboveAverage="0" equalAverage="0" bottom="0" percent="0" rank="0" text="" dxfId="635">
      <formula>$AS$3</formula>
    </cfRule>
    <cfRule type="cellIs" priority="638" operator="equal" aboveAverage="0" equalAverage="0" bottom="0" percent="0" rank="0" text="" dxfId="636">
      <formula>$AS$3</formula>
    </cfRule>
    <cfRule type="cellIs" priority="639" operator="equal" aboveAverage="0" equalAverage="0" bottom="0" percent="0" rank="0" text="" dxfId="637">
      <formula>$AS$3</formula>
    </cfRule>
    <cfRule type="cellIs" priority="640" operator="equal" aboveAverage="0" equalAverage="0" bottom="0" percent="0" rank="0" text="" dxfId="638">
      <formula>$AS$3</formula>
    </cfRule>
    <cfRule type="cellIs" priority="641" operator="equal" aboveAverage="0" equalAverage="0" bottom="0" percent="0" rank="0" text="" dxfId="639">
      <formula>$AS$3</formula>
    </cfRule>
  </conditionalFormatting>
  <conditionalFormatting sqref="C26 J26:Z26 AH26:AO26">
    <cfRule type="cellIs" priority="642" operator="equal" aboveAverage="0" equalAverage="0" bottom="0" percent="0" rank="0" text="" dxfId="640">
      <formula>$AS$3</formula>
    </cfRule>
    <cfRule type="cellIs" priority="643" operator="equal" aboveAverage="0" equalAverage="0" bottom="0" percent="0" rank="0" text="" dxfId="641">
      <formula>$AS$3</formula>
    </cfRule>
    <cfRule type="cellIs" priority="644" operator="equal" aboveAverage="0" equalAverage="0" bottom="0" percent="0" rank="0" text="" dxfId="642">
      <formula>$AS$3</formula>
    </cfRule>
    <cfRule type="cellIs" priority="645" operator="equal" aboveAverage="0" equalAverage="0" bottom="0" percent="0" rank="0" text="" dxfId="643">
      <formula>$AS$3</formula>
    </cfRule>
    <cfRule type="cellIs" priority="646" operator="equal" aboveAverage="0" equalAverage="0" bottom="0" percent="0" rank="0" text="" dxfId="644">
      <formula>$AS$3</formula>
    </cfRule>
    <cfRule type="cellIs" priority="647" operator="equal" aboveAverage="0" equalAverage="0" bottom="0" percent="0" rank="0" text="" dxfId="645">
      <formula>$AS$3</formula>
    </cfRule>
  </conditionalFormatting>
  <conditionalFormatting sqref="AI26">
    <cfRule type="cellIs" priority="648" operator="equal" aboveAverage="0" equalAverage="0" bottom="0" percent="0" rank="0" text="" dxfId="646">
      <formula>$AS$3</formula>
    </cfRule>
  </conditionalFormatting>
  <conditionalFormatting sqref="AH26 AJ26:AO26 C26 J26:Z26">
    <cfRule type="cellIs" priority="649" operator="equal" aboveAverage="0" equalAverage="0" bottom="0" percent="0" rank="0" text="" dxfId="647">
      <formula>$AS$3</formula>
    </cfRule>
    <cfRule type="cellIs" priority="650" operator="equal" aboveAverage="0" equalAverage="0" bottom="0" percent="0" rank="0" text="" dxfId="648">
      <formula>$AS$3</formula>
    </cfRule>
    <cfRule type="cellIs" priority="651" operator="equal" aboveAverage="0" equalAverage="0" bottom="0" percent="0" rank="0" text="" dxfId="649">
      <formula>$AS$3</formula>
    </cfRule>
    <cfRule type="cellIs" priority="652" operator="equal" aboveAverage="0" equalAverage="0" bottom="0" percent="0" rank="0" text="" dxfId="650">
      <formula>$AS$3</formula>
    </cfRule>
    <cfRule type="cellIs" priority="653" operator="equal" aboveAverage="0" equalAverage="0" bottom="0" percent="0" rank="0" text="" dxfId="651">
      <formula>$AS$3</formula>
    </cfRule>
    <cfRule type="cellIs" priority="654" operator="equal" aboveAverage="0" equalAverage="0" bottom="0" percent="0" rank="0" text="" dxfId="652">
      <formula>$AS$3</formula>
    </cfRule>
  </conditionalFormatting>
  <conditionalFormatting sqref="AI26">
    <cfRule type="cellIs" priority="655" operator="equal" aboveAverage="0" equalAverage="0" bottom="0" percent="0" rank="0" text="" dxfId="653">
      <formula>$AS$3</formula>
    </cfRule>
  </conditionalFormatting>
  <conditionalFormatting sqref="P26">
    <cfRule type="cellIs" priority="656" operator="equal" aboveAverage="0" equalAverage="0" bottom="0" percent="0" rank="0" text="" dxfId="654">
      <formula>$AS$3</formula>
    </cfRule>
  </conditionalFormatting>
  <conditionalFormatting sqref="O26">
    <cfRule type="cellIs" priority="657" operator="equal" aboveAverage="0" equalAverage="0" bottom="0" percent="0" rank="0" text="" dxfId="655">
      <formula>$AS$3</formula>
    </cfRule>
  </conditionalFormatting>
  <conditionalFormatting sqref="C26:N26 Q26:V26">
    <cfRule type="cellIs" priority="658" operator="equal" aboveAverage="0" equalAverage="0" bottom="0" percent="0" rank="0" text="" dxfId="656">
      <formula>$AS$3</formula>
    </cfRule>
    <cfRule type="cellIs" priority="659" operator="equal" aboveAverage="0" equalAverage="0" bottom="0" percent="0" rank="0" text="" dxfId="657">
      <formula>$AS$3</formula>
    </cfRule>
    <cfRule type="cellIs" priority="660" operator="equal" aboveAverage="0" equalAverage="0" bottom="0" percent="0" rank="0" text="" dxfId="658">
      <formula>$AS$3</formula>
    </cfRule>
    <cfRule type="cellIs" priority="661" operator="equal" aboveAverage="0" equalAverage="0" bottom="0" percent="0" rank="0" text="" dxfId="659">
      <formula>$AS$3</formula>
    </cfRule>
  </conditionalFormatting>
  <conditionalFormatting sqref="Z26:AO26 W26:X26">
    <cfRule type="cellIs" priority="662" operator="equal" aboveAverage="0" equalAverage="0" bottom="0" percent="0" rank="0" text="" dxfId="660">
      <formula>$AS$3</formula>
    </cfRule>
    <cfRule type="cellIs" priority="663" operator="equal" aboveAverage="0" equalAverage="0" bottom="0" percent="0" rank="0" text="" dxfId="661">
      <formula>$AS$3</formula>
    </cfRule>
    <cfRule type="cellIs" priority="664" operator="equal" aboveAverage="0" equalAverage="0" bottom="0" percent="0" rank="0" text="" dxfId="662">
      <formula>$AS$3</formula>
    </cfRule>
    <cfRule type="cellIs" priority="665" operator="equal" aboveAverage="0" equalAverage="0" bottom="0" percent="0" rank="0" text="" dxfId="663">
      <formula>$AS$3</formula>
    </cfRule>
  </conditionalFormatting>
  <conditionalFormatting sqref="AI25">
    <cfRule type="cellIs" priority="666" operator="equal" aboveAverage="0" equalAverage="0" bottom="0" percent="0" rank="0" text="" dxfId="664">
      <formula>$AS$3</formula>
    </cfRule>
  </conditionalFormatting>
  <conditionalFormatting sqref="AI26">
    <cfRule type="cellIs" priority="667" operator="equal" aboveAverage="0" equalAverage="0" bottom="0" percent="0" rank="0" text="" dxfId="665">
      <formula>$AS$3</formula>
    </cfRule>
  </conditionalFormatting>
  <conditionalFormatting sqref="C24:AO24">
    <cfRule type="cellIs" priority="668" operator="equal" aboveAverage="0" equalAverage="0" bottom="0" percent="0" rank="0" text="" dxfId="666">
      <formula>$AS$3</formula>
    </cfRule>
    <cfRule type="cellIs" priority="669" operator="equal" aboveAverage="0" equalAverage="0" bottom="0" percent="0" rank="0" text="" dxfId="667">
      <formula>$AS$3</formula>
    </cfRule>
    <cfRule type="cellIs" priority="670" operator="equal" aboveAverage="0" equalAverage="0" bottom="0" percent="0" rank="0" text="" dxfId="668">
      <formula>$AS$3</formula>
    </cfRule>
    <cfRule type="cellIs" priority="671" operator="equal" aboveAverage="0" equalAverage="0" bottom="0" percent="0" rank="0" text="" dxfId="669">
      <formula>$AS$3</formula>
    </cfRule>
    <cfRule type="cellIs" priority="672" operator="equal" aboveAverage="0" equalAverage="0" bottom="0" percent="0" rank="0" text="" dxfId="670">
      <formula>$AS$3</formula>
    </cfRule>
    <cfRule type="cellIs" priority="673" operator="equal" aboveAverage="0" equalAverage="0" bottom="0" percent="0" rank="0" text="" dxfId="671">
      <formula>$AS$3</formula>
    </cfRule>
    <cfRule type="cellIs" priority="674" operator="equal" aboveAverage="0" equalAverage="0" bottom="0" percent="0" rank="0" text="" dxfId="672">
      <formula>$AS$3</formula>
    </cfRule>
    <cfRule type="cellIs" priority="675" operator="equal" aboveAverage="0" equalAverage="0" bottom="0" percent="0" rank="0" text="" dxfId="673">
      <formula>$AS$3</formula>
    </cfRule>
    <cfRule type="cellIs" priority="676" operator="equal" aboveAverage="0" equalAverage="0" bottom="0" percent="0" rank="0" text="" dxfId="674">
      <formula>$AS$3</formula>
    </cfRule>
    <cfRule type="cellIs" priority="677" operator="equal" aboveAverage="0" equalAverage="0" bottom="0" percent="0" rank="0" text="" dxfId="675">
      <formula>$AS$3</formula>
    </cfRule>
    <cfRule type="cellIs" priority="678" operator="equal" aboveAverage="0" equalAverage="0" bottom="0" percent="0" rank="0" text="" dxfId="676">
      <formula>$AS$3</formula>
    </cfRule>
    <cfRule type="cellIs" priority="679" operator="equal" aboveAverage="0" equalAverage="0" bottom="0" percent="0" rank="0" text="" dxfId="677">
      <formula>$AS$3</formula>
    </cfRule>
    <cfRule type="cellIs" priority="680" operator="equal" aboveAverage="0" equalAverage="0" bottom="0" percent="0" rank="0" text="" dxfId="678">
      <formula>$AS$3</formula>
    </cfRule>
    <cfRule type="cellIs" priority="681" operator="equal" aboveAverage="0" equalAverage="0" bottom="0" percent="0" rank="0" text="" dxfId="679">
      <formula>$AS$3</formula>
    </cfRule>
    <cfRule type="cellIs" priority="682" operator="equal" aboveAverage="0" equalAverage="0" bottom="0" percent="0" rank="0" text="" dxfId="680">
      <formula>$AS$3</formula>
    </cfRule>
    <cfRule type="cellIs" priority="683" operator="equal" aboveAverage="0" equalAverage="0" bottom="0" percent="0" rank="0" text="" dxfId="681">
      <formula>$AS$3</formula>
    </cfRule>
    <cfRule type="cellIs" priority="684" operator="equal" aboveAverage="0" equalAverage="0" bottom="0" percent="0" rank="0" text="" dxfId="682">
      <formula>$AS$3</formula>
    </cfRule>
    <cfRule type="cellIs" priority="685" operator="equal" aboveAverage="0" equalAverage="0" bottom="0" percent="0" rank="0" text="" dxfId="683">
      <formula>$AS$3</formula>
    </cfRule>
    <cfRule type="cellIs" priority="686" operator="equal" aboveAverage="0" equalAverage="0" bottom="0" percent="0" rank="0" text="" dxfId="684">
      <formula>$AS$3</formula>
    </cfRule>
    <cfRule type="cellIs" priority="687" operator="equal" aboveAverage="0" equalAverage="0" bottom="0" percent="0" rank="0" text="" dxfId="685">
      <formula>$AS$3</formula>
    </cfRule>
    <cfRule type="cellIs" priority="688" operator="equal" aboveAverage="0" equalAverage="0" bottom="0" percent="0" rank="0" text="" dxfId="686">
      <formula>$AS$3</formula>
    </cfRule>
    <cfRule type="cellIs" priority="689" operator="equal" aboveAverage="0" equalAverage="0" bottom="0" percent="0" rank="0" text="" dxfId="687">
      <formula>$AS$3</formula>
    </cfRule>
    <cfRule type="cellIs" priority="690" operator="equal" aboveAverage="0" equalAverage="0" bottom="0" percent="0" rank="0" text="" dxfId="688">
      <formula>$AS$3</formula>
    </cfRule>
    <cfRule type="cellIs" priority="691" operator="equal" aboveAverage="0" equalAverage="0" bottom="0" percent="0" rank="0" text="" dxfId="689">
      <formula>$AS$3</formula>
    </cfRule>
    <cfRule type="cellIs" priority="692" operator="equal" aboveAverage="0" equalAverage="0" bottom="0" percent="0" rank="0" text="" dxfId="690">
      <formula>$AS$3</formula>
    </cfRule>
    <cfRule type="cellIs" priority="693" operator="equal" aboveAverage="0" equalAverage="0" bottom="0" percent="0" rank="0" text="" dxfId="691">
      <formula>$AS$3</formula>
    </cfRule>
    <cfRule type="cellIs" priority="694" operator="equal" aboveAverage="0" equalAverage="0" bottom="0" percent="0" rank="0" text="" dxfId="692">
      <formula>$AS$3</formula>
    </cfRule>
    <cfRule type="cellIs" priority="695" operator="equal" aboveAverage="0" equalAverage="0" bottom="0" percent="0" rank="0" text="" dxfId="693">
      <formula>$AS$3</formula>
    </cfRule>
    <cfRule type="cellIs" priority="696" operator="equal" aboveAverage="0" equalAverage="0" bottom="0" percent="0" rank="0" text="" dxfId="694">
      <formula>$AS$3</formula>
    </cfRule>
    <cfRule type="cellIs" priority="697" operator="equal" aboveAverage="0" equalAverage="0" bottom="0" percent="0" rank="0" text="" dxfId="695">
      <formula>$AS$3</formula>
    </cfRule>
    <cfRule type="cellIs" priority="698" operator="equal" aboveAverage="0" equalAverage="0" bottom="0" percent="0" rank="0" text="" dxfId="696">
      <formula>$AS$3</formula>
    </cfRule>
    <cfRule type="cellIs" priority="699" operator="equal" aboveAverage="0" equalAverage="0" bottom="0" percent="0" rank="0" text="" dxfId="697">
      <formula>$AS$3</formula>
    </cfRule>
    <cfRule type="cellIs" priority="700" operator="equal" aboveAverage="0" equalAverage="0" bottom="0" percent="0" rank="0" text="" dxfId="698">
      <formula>$AS$3</formula>
    </cfRule>
  </conditionalFormatting>
  <conditionalFormatting sqref="P26">
    <cfRule type="cellIs" priority="701" operator="equal" aboveAverage="0" equalAverage="0" bottom="0" percent="0" rank="0" text="" dxfId="699">
      <formula>$AS$3</formula>
    </cfRule>
  </conditionalFormatting>
  <conditionalFormatting sqref="O26">
    <cfRule type="cellIs" priority="702" operator="equal" aboveAverage="0" equalAverage="0" bottom="0" percent="0" rank="0" text="" dxfId="700">
      <formula>$AS$3</formula>
    </cfRule>
  </conditionalFormatting>
  <conditionalFormatting sqref="AI25">
    <cfRule type="cellIs" priority="703" operator="equal" aboveAverage="0" equalAverage="0" bottom="0" percent="0" rank="0" text="" dxfId="701">
      <formula>$AS$3</formula>
    </cfRule>
  </conditionalFormatting>
  <conditionalFormatting sqref="P26">
    <cfRule type="cellIs" priority="704" operator="equal" aboveAverage="0" equalAverage="0" bottom="0" percent="0" rank="0" text="" dxfId="702">
      <formula>$AS$3</formula>
    </cfRule>
  </conditionalFormatting>
  <conditionalFormatting sqref="O26">
    <cfRule type="cellIs" priority="705" operator="equal" aboveAverage="0" equalAverage="0" bottom="0" percent="0" rank="0" text="" dxfId="703">
      <formula>$AS$3</formula>
    </cfRule>
  </conditionalFormatting>
  <conditionalFormatting sqref="AI25">
    <cfRule type="cellIs" priority="706" operator="equal" aboveAverage="0" equalAverage="0" bottom="0" percent="0" rank="0" text="" dxfId="704">
      <formula>$AS$3</formula>
    </cfRule>
  </conditionalFormatting>
  <conditionalFormatting sqref="AJ26">
    <cfRule type="cellIs" priority="707" operator="equal" aboveAverage="0" equalAverage="0" bottom="0" percent="0" rank="0" text="" dxfId="705">
      <formula>$AS$3</formula>
    </cfRule>
  </conditionalFormatting>
  <conditionalFormatting sqref="AJ26">
    <cfRule type="cellIs" priority="708" operator="equal" aboveAverage="0" equalAverage="0" bottom="0" percent="0" rank="0" text="" dxfId="706">
      <formula>$AS$3</formula>
    </cfRule>
  </conditionalFormatting>
  <conditionalFormatting sqref="AA26">
    <cfRule type="cellIs" priority="709" operator="equal" aboveAverage="0" equalAverage="0" bottom="0" percent="0" rank="0" text="" dxfId="707">
      <formula>$AS$3</formula>
    </cfRule>
  </conditionalFormatting>
  <conditionalFormatting sqref="AA26">
    <cfRule type="cellIs" priority="710" operator="equal" aboveAverage="0" equalAverage="0" bottom="0" percent="0" rank="0" text="" dxfId="708">
      <formula>$AS$3</formula>
    </cfRule>
  </conditionalFormatting>
  <conditionalFormatting sqref="U26">
    <cfRule type="cellIs" priority="711" operator="equal" aboveAverage="0" equalAverage="0" bottom="0" percent="0" rank="0" text="" dxfId="709">
      <formula>$AS$3</formula>
    </cfRule>
  </conditionalFormatting>
  <conditionalFormatting sqref="U26">
    <cfRule type="cellIs" priority="712" operator="equal" aboveAverage="0" equalAverage="0" bottom="0" percent="0" rank="0" text="" dxfId="710">
      <formula>$AS$3</formula>
    </cfRule>
  </conditionalFormatting>
  <conditionalFormatting sqref="M26">
    <cfRule type="cellIs" priority="713" operator="equal" aboveAverage="0" equalAverage="0" bottom="0" percent="0" rank="0" text="" dxfId="711">
      <formula>$AS$3</formula>
    </cfRule>
  </conditionalFormatting>
  <conditionalFormatting sqref="M26">
    <cfRule type="cellIs" priority="714" operator="equal" aboveAverage="0" equalAverage="0" bottom="0" percent="0" rank="0" text="" dxfId="712">
      <formula>$AS$3</formula>
    </cfRule>
  </conditionalFormatting>
  <conditionalFormatting sqref="P25">
    <cfRule type="cellIs" priority="715" operator="equal" aboveAverage="0" equalAverage="0" bottom="0" percent="0" rank="0" text="" dxfId="713">
      <formula>$AS$3</formula>
    </cfRule>
  </conditionalFormatting>
  <conditionalFormatting sqref="O25">
    <cfRule type="cellIs" priority="716" operator="equal" aboveAverage="0" equalAverage="0" bottom="0" percent="0" rank="0" text="" dxfId="714">
      <formula>$AS$3</formula>
    </cfRule>
  </conditionalFormatting>
  <conditionalFormatting sqref="C24 J24:Z24 AH24:AO24">
    <cfRule type="cellIs" priority="717" operator="equal" aboveAverage="0" equalAverage="0" bottom="0" percent="0" rank="0" text="" dxfId="715">
      <formula>$AS$3</formula>
    </cfRule>
    <cfRule type="cellIs" priority="718" operator="equal" aboveAverage="0" equalAverage="0" bottom="0" percent="0" rank="0" text="" dxfId="716">
      <formula>$AS$3</formula>
    </cfRule>
    <cfRule type="cellIs" priority="719" operator="equal" aboveAverage="0" equalAverage="0" bottom="0" percent="0" rank="0" text="" dxfId="717">
      <formula>$AS$3</formula>
    </cfRule>
    <cfRule type="cellIs" priority="720" operator="equal" aboveAverage="0" equalAverage="0" bottom="0" percent="0" rank="0" text="" dxfId="718">
      <formula>$AS$3</formula>
    </cfRule>
    <cfRule type="cellIs" priority="721" operator="equal" aboveAverage="0" equalAverage="0" bottom="0" percent="0" rank="0" text="" dxfId="719">
      <formula>$AS$3</formula>
    </cfRule>
  </conditionalFormatting>
  <conditionalFormatting sqref="AI24">
    <cfRule type="cellIs" priority="722" operator="equal" aboveAverage="0" equalAverage="0" bottom="0" percent="0" rank="0" text="" dxfId="720">
      <formula>$AS$3</formula>
    </cfRule>
  </conditionalFormatting>
  <conditionalFormatting sqref="AH24 AJ24:AO24 C24 J24:Z24">
    <cfRule type="cellIs" priority="723" operator="equal" aboveAverage="0" equalAverage="0" bottom="0" percent="0" rank="0" text="" dxfId="721">
      <formula>$AS$3</formula>
    </cfRule>
    <cfRule type="cellIs" priority="724" operator="equal" aboveAverage="0" equalAverage="0" bottom="0" percent="0" rank="0" text="" dxfId="722">
      <formula>$AS$3</formula>
    </cfRule>
    <cfRule type="cellIs" priority="725" operator="equal" aboveAverage="0" equalAverage="0" bottom="0" percent="0" rank="0" text="" dxfId="723">
      <formula>$AS$3</formula>
    </cfRule>
    <cfRule type="cellIs" priority="726" operator="equal" aboveAverage="0" equalAverage="0" bottom="0" percent="0" rank="0" text="" dxfId="724">
      <formula>$AS$3</formula>
    </cfRule>
    <cfRule type="cellIs" priority="727" operator="equal" aboveAverage="0" equalAverage="0" bottom="0" percent="0" rank="0" text="" dxfId="725">
      <formula>$AS$3</formula>
    </cfRule>
  </conditionalFormatting>
  <conditionalFormatting sqref="C26:L26 N26:T26 V26:Z26 AB26:AI26 AK26:AO26">
    <cfRule type="cellIs" priority="728" operator="equal" aboveAverage="0" equalAverage="0" bottom="0" percent="0" rank="0" text="" dxfId="726">
      <formula>$AS$3</formula>
    </cfRule>
  </conditionalFormatting>
  <conditionalFormatting sqref="S26">
    <cfRule type="cellIs" priority="729" operator="equal" aboveAverage="0" equalAverage="0" bottom="0" percent="0" rank="0" text="" dxfId="727">
      <formula>$AS$3</formula>
    </cfRule>
  </conditionalFormatting>
  <conditionalFormatting sqref="G26">
    <cfRule type="cellIs" priority="730" operator="equal" aboveAverage="0" equalAverage="0" bottom="0" percent="0" rank="0" text="" dxfId="728">
      <formula>$AS$3</formula>
    </cfRule>
  </conditionalFormatting>
  <conditionalFormatting sqref="E26">
    <cfRule type="cellIs" priority="731" operator="equal" aboveAverage="0" equalAverage="0" bottom="0" percent="0" rank="0" text="" dxfId="729">
      <formula>$AS$3</formula>
    </cfRule>
  </conditionalFormatting>
  <conditionalFormatting sqref="C26:D26">
    <cfRule type="cellIs" priority="732" operator="equal" aboveAverage="0" equalAverage="0" bottom="0" percent="0" rank="0" text="" dxfId="730">
      <formula>$AS$3</formula>
    </cfRule>
  </conditionalFormatting>
  <conditionalFormatting sqref="T26 AE26:AI26 H26:L26 N26:R26 V26:Z26 AB26:AC26 AK26:AO26">
    <cfRule type="cellIs" priority="733" operator="equal" aboveAverage="0" equalAverage="0" bottom="0" percent="0" rank="0" text="" dxfId="731">
      <formula>$AS$3</formula>
    </cfRule>
  </conditionalFormatting>
  <conditionalFormatting sqref="K18">
    <cfRule type="cellIs" priority="734" operator="equal" aboveAverage="0" equalAverage="0" bottom="0" percent="0" rank="0" text="" dxfId="732">
      <formula>$AS$3</formula>
    </cfRule>
  </conditionalFormatting>
  <conditionalFormatting sqref="K18">
    <cfRule type="cellIs" priority="735" operator="equal" aboveAverage="0" equalAverage="0" bottom="0" percent="0" rank="0" text="" dxfId="733">
      <formula>$AS$3</formula>
    </cfRule>
  </conditionalFormatting>
  <conditionalFormatting sqref="C20:J20 L20:AO20">
    <cfRule type="cellIs" priority="736" operator="equal" aboveAverage="0" equalAverage="0" bottom="0" percent="0" rank="0" text="" dxfId="734">
      <formula>$AS$3</formula>
    </cfRule>
    <cfRule type="cellIs" priority="737" operator="equal" aboveAverage="0" equalAverage="0" bottom="0" percent="0" rank="0" text="" dxfId="735">
      <formula>$AS$3</formula>
    </cfRule>
    <cfRule type="cellIs" priority="738" operator="equal" aboveAverage="0" equalAverage="0" bottom="0" percent="0" rank="0" text="" dxfId="736">
      <formula>$AS$3</formula>
    </cfRule>
    <cfRule type="cellIs" priority="739" operator="equal" aboveAverage="0" equalAverage="0" bottom="0" percent="0" rank="0" text="" dxfId="737">
      <formula>$AS$3</formula>
    </cfRule>
    <cfRule type="cellIs" priority="740" operator="equal" aboveAverage="0" equalAverage="0" bottom="0" percent="0" rank="0" text="" dxfId="738">
      <formula>$AS$3</formula>
    </cfRule>
    <cfRule type="cellIs" priority="741" operator="equal" aboveAverage="0" equalAverage="0" bottom="0" percent="0" rank="0" text="" dxfId="739">
      <formula>$AS$3</formula>
    </cfRule>
    <cfRule type="cellIs" priority="742" operator="equal" aboveAverage="0" equalAverage="0" bottom="0" percent="0" rank="0" text="" dxfId="740">
      <formula>$AS$3</formula>
    </cfRule>
    <cfRule type="cellIs" priority="743" operator="equal" aboveAverage="0" equalAverage="0" bottom="0" percent="0" rank="0" text="" dxfId="741">
      <formula>$AS$3</formula>
    </cfRule>
    <cfRule type="cellIs" priority="744" operator="equal" aboveAverage="0" equalAverage="0" bottom="0" percent="0" rank="0" text="" dxfId="742">
      <formula>$AS$3</formula>
    </cfRule>
    <cfRule type="cellIs" priority="745" operator="equal" aboveAverage="0" equalAverage="0" bottom="0" percent="0" rank="0" text="" dxfId="743">
      <formula>$AS$3</formula>
    </cfRule>
    <cfRule type="cellIs" priority="746" operator="equal" aboveAverage="0" equalAverage="0" bottom="0" percent="0" rank="0" text="" dxfId="744">
      <formula>$AS$3</formula>
    </cfRule>
    <cfRule type="cellIs" priority="747" operator="equal" aboveAverage="0" equalAverage="0" bottom="0" percent="0" rank="0" text="" dxfId="745">
      <formula>$AS$3</formula>
    </cfRule>
    <cfRule type="cellIs" priority="748" operator="equal" aboveAverage="0" equalAverage="0" bottom="0" percent="0" rank="0" text="" dxfId="746">
      <formula>$AS$3</formula>
    </cfRule>
    <cfRule type="cellIs" priority="749" operator="equal" aboveAverage="0" equalAverage="0" bottom="0" percent="0" rank="0" text="" dxfId="747">
      <formula>$AS$3</formula>
    </cfRule>
    <cfRule type="cellIs" priority="750" operator="equal" aboveAverage="0" equalAverage="0" bottom="0" percent="0" rank="0" text="" dxfId="748">
      <formula>$AS$3</formula>
    </cfRule>
    <cfRule type="cellIs" priority="751" operator="equal" aboveAverage="0" equalAverage="0" bottom="0" percent="0" rank="0" text="" dxfId="749">
      <formula>$AS$3</formula>
    </cfRule>
    <cfRule type="cellIs" priority="752" operator="equal" aboveAverage="0" equalAverage="0" bottom="0" percent="0" rank="0" text="" dxfId="750">
      <formula>$AS$3</formula>
    </cfRule>
    <cfRule type="cellIs" priority="753" operator="equal" aboveAverage="0" equalAverage="0" bottom="0" percent="0" rank="0" text="" dxfId="751">
      <formula>$AS$3</formula>
    </cfRule>
    <cfRule type="cellIs" priority="754" operator="equal" aboveAverage="0" equalAverage="0" bottom="0" percent="0" rank="0" text="" dxfId="752">
      <formula>$AS$3</formula>
    </cfRule>
    <cfRule type="cellIs" priority="755" operator="equal" aboveAverage="0" equalAverage="0" bottom="0" percent="0" rank="0" text="" dxfId="753">
      <formula>$AS$3</formula>
    </cfRule>
    <cfRule type="cellIs" priority="756" operator="equal" aboveAverage="0" equalAverage="0" bottom="0" percent="0" rank="0" text="" dxfId="754">
      <formula>$AS$3</formula>
    </cfRule>
    <cfRule type="cellIs" priority="757" operator="equal" aboveAverage="0" equalAverage="0" bottom="0" percent="0" rank="0" text="" dxfId="755">
      <formula>$AS$3</formula>
    </cfRule>
  </conditionalFormatting>
  <conditionalFormatting sqref="C21:AO21">
    <cfRule type="cellIs" priority="758" operator="equal" aboveAverage="0" equalAverage="0" bottom="0" percent="0" rank="0" text="" dxfId="756">
      <formula>$AS$3</formula>
    </cfRule>
    <cfRule type="cellIs" priority="759" operator="equal" aboveAverage="0" equalAverage="0" bottom="0" percent="0" rank="0" text="" dxfId="757">
      <formula>$AS$3</formula>
    </cfRule>
    <cfRule type="cellIs" priority="760" operator="equal" aboveAverage="0" equalAverage="0" bottom="0" percent="0" rank="0" text="" dxfId="758">
      <formula>$AS$3</formula>
    </cfRule>
    <cfRule type="cellIs" priority="761" operator="equal" aboveAverage="0" equalAverage="0" bottom="0" percent="0" rank="0" text="" dxfId="759">
      <formula>$AS$3</formula>
    </cfRule>
    <cfRule type="cellIs" priority="762" operator="equal" aboveAverage="0" equalAverage="0" bottom="0" percent="0" rank="0" text="" dxfId="760">
      <formula>$AS$3</formula>
    </cfRule>
    <cfRule type="cellIs" priority="763" operator="equal" aboveAverage="0" equalAverage="0" bottom="0" percent="0" rank="0" text="" dxfId="761">
      <formula>$AS$3</formula>
    </cfRule>
    <cfRule type="cellIs" priority="764" operator="equal" aboveAverage="0" equalAverage="0" bottom="0" percent="0" rank="0" text="" dxfId="762">
      <formula>$AS$3</formula>
    </cfRule>
    <cfRule type="cellIs" priority="765" operator="equal" aboveAverage="0" equalAverage="0" bottom="0" percent="0" rank="0" text="" dxfId="763">
      <formula>$AS$3</formula>
    </cfRule>
    <cfRule type="cellIs" priority="766" operator="equal" aboveAverage="0" equalAverage="0" bottom="0" percent="0" rank="0" text="" dxfId="764">
      <formula>$AS$3</formula>
    </cfRule>
    <cfRule type="cellIs" priority="767" operator="equal" aboveAverage="0" equalAverage="0" bottom="0" percent="0" rank="0" text="" dxfId="765">
      <formula>$AS$3</formula>
    </cfRule>
    <cfRule type="cellIs" priority="768" operator="equal" aboveAverage="0" equalAverage="0" bottom="0" percent="0" rank="0" text="" dxfId="766">
      <formula>$AS$3</formula>
    </cfRule>
    <cfRule type="cellIs" priority="769" operator="equal" aboveAverage="0" equalAverage="0" bottom="0" percent="0" rank="0" text="" dxfId="767">
      <formula>$AS$3</formula>
    </cfRule>
    <cfRule type="cellIs" priority="770" operator="equal" aboveAverage="0" equalAverage="0" bottom="0" percent="0" rank="0" text="" dxfId="768">
      <formula>$AS$3</formula>
    </cfRule>
    <cfRule type="cellIs" priority="771" operator="equal" aboveAverage="0" equalAverage="0" bottom="0" percent="0" rank="0" text="" dxfId="769">
      <formula>$AS$3</formula>
    </cfRule>
    <cfRule type="cellIs" priority="772" operator="equal" aboveAverage="0" equalAverage="0" bottom="0" percent="0" rank="0" text="" dxfId="770">
      <formula>$AS$3</formula>
    </cfRule>
    <cfRule type="cellIs" priority="773" operator="equal" aboveAverage="0" equalAverage="0" bottom="0" percent="0" rank="0" text="" dxfId="771">
      <formula>$AS$3</formula>
    </cfRule>
    <cfRule type="cellIs" priority="774" operator="equal" aboveAverage="0" equalAverage="0" bottom="0" percent="0" rank="0" text="" dxfId="772">
      <formula>$AS$3</formula>
    </cfRule>
    <cfRule type="cellIs" priority="775" operator="equal" aboveAverage="0" equalAverage="0" bottom="0" percent="0" rank="0" text="" dxfId="773">
      <formula>$AS$3</formula>
    </cfRule>
    <cfRule type="cellIs" priority="776" operator="equal" aboveAverage="0" equalAverage="0" bottom="0" percent="0" rank="0" text="" dxfId="774">
      <formula>$AS$3</formula>
    </cfRule>
    <cfRule type="cellIs" priority="777" operator="equal" aboveAverage="0" equalAverage="0" bottom="0" percent="0" rank="0" text="" dxfId="775">
      <formula>$AS$3</formula>
    </cfRule>
    <cfRule type="cellIs" priority="778" operator="equal" aboveAverage="0" equalAverage="0" bottom="0" percent="0" rank="0" text="" dxfId="776">
      <formula>$AS$3</formula>
    </cfRule>
    <cfRule type="cellIs" priority="779" operator="equal" aboveAverage="0" equalAverage="0" bottom="0" percent="0" rank="0" text="" dxfId="777">
      <formula>$AS$3</formula>
    </cfRule>
    <cfRule type="cellIs" priority="780" operator="equal" aboveAverage="0" equalAverage="0" bottom="0" percent="0" rank="0" text="" dxfId="778">
      <formula>$AS$3</formula>
    </cfRule>
    <cfRule type="cellIs" priority="781" operator="equal" aboveAverage="0" equalAverage="0" bottom="0" percent="0" rank="0" text="" dxfId="779">
      <formula>$AS$3</formula>
    </cfRule>
    <cfRule type="cellIs" priority="782" operator="equal" aboveAverage="0" equalAverage="0" bottom="0" percent="0" rank="0" text="" dxfId="780">
      <formula>$AS$3</formula>
    </cfRule>
  </conditionalFormatting>
  <conditionalFormatting sqref="H21">
    <cfRule type="cellIs" priority="783" operator="equal" aboveAverage="0" equalAverage="0" bottom="0" percent="0" rank="0" text="" dxfId="781">
      <formula>$AS$3</formula>
    </cfRule>
  </conditionalFormatting>
  <conditionalFormatting sqref="Y21:AO21 I21:W21 C21:G21">
    <cfRule type="cellIs" priority="784" operator="equal" aboveAverage="0" equalAverage="0" bottom="0" percent="0" rank="0" text="" dxfId="782">
      <formula>$AS$3</formula>
    </cfRule>
    <cfRule type="cellIs" priority="785" operator="equal" aboveAverage="0" equalAverage="0" bottom="0" percent="0" rank="0" text="" dxfId="783">
      <formula>$AS$3</formula>
    </cfRule>
  </conditionalFormatting>
  <conditionalFormatting sqref="C23:AO23">
    <cfRule type="cellIs" priority="786" operator="equal" aboveAverage="0" equalAverage="0" bottom="0" percent="0" rank="0" text="" dxfId="784">
      <formula>$AS$3</formula>
    </cfRule>
    <cfRule type="cellIs" priority="787" operator="equal" aboveAverage="0" equalAverage="0" bottom="0" percent="0" rank="0" text="" dxfId="785">
      <formula>$AS$3</formula>
    </cfRule>
    <cfRule type="cellIs" priority="788" operator="equal" aboveAverage="0" equalAverage="0" bottom="0" percent="0" rank="0" text="" dxfId="786">
      <formula>$AS$3</formula>
    </cfRule>
    <cfRule type="cellIs" priority="789" operator="equal" aboveAverage="0" equalAverage="0" bottom="0" percent="0" rank="0" text="" dxfId="787">
      <formula>$AS$3</formula>
    </cfRule>
    <cfRule type="cellIs" priority="790" operator="equal" aboveAverage="0" equalAverage="0" bottom="0" percent="0" rank="0" text="" dxfId="788">
      <formula>$AS$3</formula>
    </cfRule>
    <cfRule type="cellIs" priority="791" operator="equal" aboveAverage="0" equalAverage="0" bottom="0" percent="0" rank="0" text="" dxfId="789">
      <formula>$AS$3</formula>
    </cfRule>
    <cfRule type="cellIs" priority="792" operator="equal" aboveAverage="0" equalAverage="0" bottom="0" percent="0" rank="0" text="" dxfId="790">
      <formula>$AS$3</formula>
    </cfRule>
    <cfRule type="cellIs" priority="793" operator="equal" aboveAverage="0" equalAverage="0" bottom="0" percent="0" rank="0" text="" dxfId="791">
      <formula>$AS$3</formula>
    </cfRule>
    <cfRule type="cellIs" priority="794" operator="equal" aboveAverage="0" equalAverage="0" bottom="0" percent="0" rank="0" text="" dxfId="792">
      <formula>$AS$3</formula>
    </cfRule>
    <cfRule type="cellIs" priority="795" operator="equal" aboveAverage="0" equalAverage="0" bottom="0" percent="0" rank="0" text="" dxfId="793">
      <formula>$AS$3</formula>
    </cfRule>
    <cfRule type="cellIs" priority="796" operator="equal" aboveAverage="0" equalAverage="0" bottom="0" percent="0" rank="0" text="" dxfId="794">
      <formula>$AS$3</formula>
    </cfRule>
    <cfRule type="cellIs" priority="797" operator="equal" aboveAverage="0" equalAverage="0" bottom="0" percent="0" rank="0" text="" dxfId="795">
      <formula>$AS$3</formula>
    </cfRule>
    <cfRule type="cellIs" priority="798" operator="equal" aboveAverage="0" equalAverage="0" bottom="0" percent="0" rank="0" text="" dxfId="796">
      <formula>$AS$3</formula>
    </cfRule>
    <cfRule type="cellIs" priority="799" operator="equal" aboveAverage="0" equalAverage="0" bottom="0" percent="0" rank="0" text="" dxfId="797">
      <formula>$AS$3</formula>
    </cfRule>
    <cfRule type="cellIs" priority="800" operator="equal" aboveAverage="0" equalAverage="0" bottom="0" percent="0" rank="0" text="" dxfId="798">
      <formula>$AS$3</formula>
    </cfRule>
    <cfRule type="cellIs" priority="801" operator="equal" aboveAverage="0" equalAverage="0" bottom="0" percent="0" rank="0" text="" dxfId="799">
      <formula>$AS$3</formula>
    </cfRule>
    <cfRule type="cellIs" priority="802" operator="equal" aboveAverage="0" equalAverage="0" bottom="0" percent="0" rank="0" text="" dxfId="800">
      <formula>$AS$3</formula>
    </cfRule>
    <cfRule type="cellIs" priority="803" operator="equal" aboveAverage="0" equalAverage="0" bottom="0" percent="0" rank="0" text="" dxfId="801">
      <formula>$AS$3</formula>
    </cfRule>
    <cfRule type="cellIs" priority="804" operator="equal" aboveAverage="0" equalAverage="0" bottom="0" percent="0" rank="0" text="" dxfId="802">
      <formula>$AS$3</formula>
    </cfRule>
    <cfRule type="cellIs" priority="805" operator="equal" aboveAverage="0" equalAverage="0" bottom="0" percent="0" rank="0" text="" dxfId="803">
      <formula>$AS$3</formula>
    </cfRule>
    <cfRule type="cellIs" priority="806" operator="equal" aboveAverage="0" equalAverage="0" bottom="0" percent="0" rank="0" text="" dxfId="804">
      <formula>$AS$3</formula>
    </cfRule>
    <cfRule type="cellIs" priority="807" operator="equal" aboveAverage="0" equalAverage="0" bottom="0" percent="0" rank="0" text="" dxfId="805">
      <formula>$AS$3</formula>
    </cfRule>
    <cfRule type="cellIs" priority="808" operator="equal" aboveAverage="0" equalAverage="0" bottom="0" percent="0" rank="0" text="" dxfId="806">
      <formula>$AS$3</formula>
    </cfRule>
    <cfRule type="cellIs" priority="809" operator="equal" aboveAverage="0" equalAverage="0" bottom="0" percent="0" rank="0" text="" dxfId="807">
      <formula>$AS$3</formula>
    </cfRule>
    <cfRule type="cellIs" priority="810" operator="equal" aboveAverage="0" equalAverage="0" bottom="0" percent="0" rank="0" text="" dxfId="808">
      <formula>$AS$3</formula>
    </cfRule>
    <cfRule type="cellIs" priority="811" operator="equal" aboveAverage="0" equalAverage="0" bottom="0" percent="0" rank="0" text="" dxfId="809">
      <formula>$AS$3</formula>
    </cfRule>
    <cfRule type="cellIs" priority="812" operator="equal" aboveAverage="0" equalAverage="0" bottom="0" percent="0" rank="0" text="" dxfId="810">
      <formula>$AS$3</formula>
    </cfRule>
    <cfRule type="cellIs" priority="813" operator="equal" aboveAverage="0" equalAverage="0" bottom="0" percent="0" rank="0" text="" dxfId="811">
      <formula>$AS$3</formula>
    </cfRule>
    <cfRule type="cellIs" priority="814" operator="equal" aboveAverage="0" equalAverage="0" bottom="0" percent="0" rank="0" text="" dxfId="812">
      <formula>$AS$3</formula>
    </cfRule>
  </conditionalFormatting>
  <conditionalFormatting sqref="C22:AO22">
    <cfRule type="cellIs" priority="815" operator="equal" aboveAverage="0" equalAverage="0" bottom="0" percent="0" rank="0" text="" dxfId="813">
      <formula>$AS$3</formula>
    </cfRule>
    <cfRule type="cellIs" priority="816" operator="equal" aboveAverage="0" equalAverage="0" bottom="0" percent="0" rank="0" text="" dxfId="814">
      <formula>$AS$3</formula>
    </cfRule>
    <cfRule type="cellIs" priority="817" operator="equal" aboveAverage="0" equalAverage="0" bottom="0" percent="0" rank="0" text="" dxfId="815">
      <formula>$AS$3</formula>
    </cfRule>
    <cfRule type="cellIs" priority="818" operator="equal" aboveAverage="0" equalAverage="0" bottom="0" percent="0" rank="0" text="" dxfId="816">
      <formula>$AS$3</formula>
    </cfRule>
    <cfRule type="cellIs" priority="819" operator="equal" aboveAverage="0" equalAverage="0" bottom="0" percent="0" rank="0" text="" dxfId="817">
      <formula>$AS$3</formula>
    </cfRule>
    <cfRule type="cellIs" priority="820" operator="equal" aboveAverage="0" equalAverage="0" bottom="0" percent="0" rank="0" text="" dxfId="818">
      <formula>$AS$3</formula>
    </cfRule>
    <cfRule type="cellIs" priority="821" operator="equal" aboveAverage="0" equalAverage="0" bottom="0" percent="0" rank="0" text="" dxfId="819">
      <formula>$AS$3</formula>
    </cfRule>
    <cfRule type="cellIs" priority="822" operator="equal" aboveAverage="0" equalAverage="0" bottom="0" percent="0" rank="0" text="" dxfId="820">
      <formula>$AS$3</formula>
    </cfRule>
    <cfRule type="cellIs" priority="823" operator="equal" aboveAverage="0" equalAverage="0" bottom="0" percent="0" rank="0" text="" dxfId="821">
      <formula>$AS$3</formula>
    </cfRule>
    <cfRule type="cellIs" priority="824" operator="equal" aboveAverage="0" equalAverage="0" bottom="0" percent="0" rank="0" text="" dxfId="822">
      <formula>$AS$3</formula>
    </cfRule>
    <cfRule type="cellIs" priority="825" operator="equal" aboveAverage="0" equalAverage="0" bottom="0" percent="0" rank="0" text="" dxfId="823">
      <formula>$AS$3</formula>
    </cfRule>
    <cfRule type="cellIs" priority="826" operator="equal" aboveAverage="0" equalAverage="0" bottom="0" percent="0" rank="0" text="" dxfId="824">
      <formula>$AS$3</formula>
    </cfRule>
    <cfRule type="cellIs" priority="827" operator="equal" aboveAverage="0" equalAverage="0" bottom="0" percent="0" rank="0" text="" dxfId="825">
      <formula>$AS$3</formula>
    </cfRule>
    <cfRule type="cellIs" priority="828" operator="equal" aboveAverage="0" equalAverage="0" bottom="0" percent="0" rank="0" text="" dxfId="826">
      <formula>$AS$3</formula>
    </cfRule>
    <cfRule type="cellIs" priority="829" operator="equal" aboveAverage="0" equalAverage="0" bottom="0" percent="0" rank="0" text="" dxfId="827">
      <formula>$AS$3</formula>
    </cfRule>
    <cfRule type="cellIs" priority="830" operator="equal" aboveAverage="0" equalAverage="0" bottom="0" percent="0" rank="0" text="" dxfId="828">
      <formula>$AS$3</formula>
    </cfRule>
    <cfRule type="cellIs" priority="831" operator="equal" aboveAverage="0" equalAverage="0" bottom="0" percent="0" rank="0" text="" dxfId="829">
      <formula>$AS$3</formula>
    </cfRule>
    <cfRule type="cellIs" priority="832" operator="equal" aboveAverage="0" equalAverage="0" bottom="0" percent="0" rank="0" text="" dxfId="830">
      <formula>$AS$3</formula>
    </cfRule>
    <cfRule type="cellIs" priority="833" operator="equal" aboveAverage="0" equalAverage="0" bottom="0" percent="0" rank="0" text="" dxfId="831">
      <formula>$AS$3</formula>
    </cfRule>
    <cfRule type="cellIs" priority="834" operator="equal" aboveAverage="0" equalAverage="0" bottom="0" percent="0" rank="0" text="" dxfId="832">
      <formula>$AS$3</formula>
    </cfRule>
    <cfRule type="cellIs" priority="835" operator="equal" aboveAverage="0" equalAverage="0" bottom="0" percent="0" rank="0" text="" dxfId="833">
      <formula>$AS$3</formula>
    </cfRule>
    <cfRule type="cellIs" priority="836" operator="equal" aboveAverage="0" equalAverage="0" bottom="0" percent="0" rank="0" text="" dxfId="834">
      <formula>$AS$3</formula>
    </cfRule>
    <cfRule type="cellIs" priority="837" operator="equal" aboveAverage="0" equalAverage="0" bottom="0" percent="0" rank="0" text="" dxfId="835">
      <formula>$AS$3</formula>
    </cfRule>
    <cfRule type="cellIs" priority="838" operator="equal" aboveAverage="0" equalAverage="0" bottom="0" percent="0" rank="0" text="" dxfId="836">
      <formula>$AS$3</formula>
    </cfRule>
    <cfRule type="cellIs" priority="839" operator="equal" aboveAverage="0" equalAverage="0" bottom="0" percent="0" rank="0" text="" dxfId="837">
      <formula>$AS$3</formula>
    </cfRule>
    <cfRule type="cellIs" priority="840" operator="equal" aboveAverage="0" equalAverage="0" bottom="0" percent="0" rank="0" text="" dxfId="838">
      <formula>$AS$3</formula>
    </cfRule>
    <cfRule type="cellIs" priority="841" operator="equal" aboveAverage="0" equalAverage="0" bottom="0" percent="0" rank="0" text="" dxfId="839">
      <formula>$AS$3</formula>
    </cfRule>
  </conditionalFormatting>
  <conditionalFormatting sqref="AN22:AO22 C22:AL22">
    <cfRule type="cellIs" priority="842" operator="equal" aboveAverage="0" equalAverage="0" bottom="0" percent="0" rank="0" text="" dxfId="840">
      <formula>$AS$3</formula>
    </cfRule>
    <cfRule type="cellIs" priority="843" operator="equal" aboveAverage="0" equalAverage="0" bottom="0" percent="0" rank="0" text="" dxfId="841">
      <formula>$AS$3</formula>
    </cfRule>
    <cfRule type="cellIs" priority="844" operator="equal" aboveAverage="0" equalAverage="0" bottom="0" percent="0" rank="0" text="" dxfId="842">
      <formula>$AS$3</formula>
    </cfRule>
    <cfRule type="cellIs" priority="845" operator="equal" aboveAverage="0" equalAverage="0" bottom="0" percent="0" rank="0" text="" dxfId="843">
      <formula>$AS$3</formula>
    </cfRule>
  </conditionalFormatting>
  <conditionalFormatting sqref="AN21:AO21 C21:AL21">
    <cfRule type="cellIs" priority="846" operator="equal" aboveAverage="0" equalAverage="0" bottom="0" percent="0" rank="0" text="" dxfId="844">
      <formula>$AS$3</formula>
    </cfRule>
    <cfRule type="cellIs" priority="847" operator="equal" aboveAverage="0" equalAverage="0" bottom="0" percent="0" rank="0" text="" dxfId="845">
      <formula>$AS$3</formula>
    </cfRule>
    <cfRule type="cellIs" priority="848" operator="equal" aboveAverage="0" equalAverage="0" bottom="0" percent="0" rank="0" text="" dxfId="846">
      <formula>$AS$3</formula>
    </cfRule>
    <cfRule type="cellIs" priority="849" operator="equal" aboveAverage="0" equalAverage="0" bottom="0" percent="0" rank="0" text="" dxfId="847">
      <formula>$AS$3</formula>
    </cfRule>
    <cfRule type="cellIs" priority="850" operator="equal" aboveAverage="0" equalAverage="0" bottom="0" percent="0" rank="0" text="" dxfId="848">
      <formula>$AS$3</formula>
    </cfRule>
  </conditionalFormatting>
  <conditionalFormatting sqref="V19">
    <cfRule type="cellIs" priority="851" operator="equal" aboveAverage="0" equalAverage="0" bottom="0" percent="0" rank="0" text="" dxfId="849">
      <formula>$AS$3</formula>
    </cfRule>
  </conditionalFormatting>
  <conditionalFormatting sqref="V19">
    <cfRule type="cellIs" priority="852" operator="equal" aboveAverage="0" equalAverage="0" bottom="0" percent="0" rank="0" text="" dxfId="850">
      <formula>$AS$3</formula>
    </cfRule>
  </conditionalFormatting>
  <conditionalFormatting sqref="W19">
    <cfRule type="cellIs" priority="853" operator="equal" aboveAverage="0" equalAverage="0" bottom="0" percent="0" rank="0" text="" dxfId="851">
      <formula>$AS$3</formula>
    </cfRule>
  </conditionalFormatting>
  <conditionalFormatting sqref="W19">
    <cfRule type="cellIs" priority="854" operator="equal" aboveAverage="0" equalAverage="0" bottom="0" percent="0" rank="0" text="" dxfId="852">
      <formula>$AS$3</formula>
    </cfRule>
  </conditionalFormatting>
  <conditionalFormatting sqref="U19">
    <cfRule type="cellIs" priority="855" operator="equal" aboveAverage="0" equalAverage="0" bottom="0" percent="0" rank="0" text="" dxfId="853">
      <formula>$AS$3</formula>
    </cfRule>
  </conditionalFormatting>
  <conditionalFormatting sqref="U19">
    <cfRule type="cellIs" priority="856" operator="equal" aboveAverage="0" equalAverage="0" bottom="0" percent="0" rank="0" text="" dxfId="854">
      <formula>$AS$3</formula>
    </cfRule>
  </conditionalFormatting>
  <conditionalFormatting sqref="T19">
    <cfRule type="cellIs" priority="857" operator="equal" aboveAverage="0" equalAverage="0" bottom="0" percent="0" rank="0" text="" dxfId="855">
      <formula>$AS$3</formula>
    </cfRule>
  </conditionalFormatting>
  <conditionalFormatting sqref="T19">
    <cfRule type="cellIs" priority="858" operator="equal" aboveAverage="0" equalAverage="0" bottom="0" percent="0" rank="0" text="" dxfId="856">
      <formula>$AS$3</formula>
    </cfRule>
  </conditionalFormatting>
  <conditionalFormatting sqref="AI19">
    <cfRule type="cellIs" priority="859" operator="equal" aboveAverage="0" equalAverage="0" bottom="0" percent="0" rank="0" text="" dxfId="857">
      <formula>$AS$3</formula>
    </cfRule>
  </conditionalFormatting>
  <conditionalFormatting sqref="AI19">
    <cfRule type="cellIs" priority="860" operator="equal" aboveAverage="0" equalAverage="0" bottom="0" percent="0" rank="0" text="" dxfId="858">
      <formula>$AS$3</formula>
    </cfRule>
  </conditionalFormatting>
  <conditionalFormatting sqref="AM19">
    <cfRule type="cellIs" priority="861" operator="equal" aboveAverage="0" equalAverage="0" bottom="0" percent="0" rank="0" text="" dxfId="859">
      <formula>$AS$3</formula>
    </cfRule>
  </conditionalFormatting>
  <conditionalFormatting sqref="AM19">
    <cfRule type="cellIs" priority="862" operator="equal" aboveAverage="0" equalAverage="0" bottom="0" percent="0" rank="0" text="" dxfId="860">
      <formula>$AS$3</formula>
    </cfRule>
  </conditionalFormatting>
  <conditionalFormatting sqref="S19">
    <cfRule type="cellIs" priority="863" operator="equal" aboveAverage="0" equalAverage="0" bottom="0" percent="0" rank="0" text="" dxfId="861">
      <formula>$AS$3</formula>
    </cfRule>
  </conditionalFormatting>
  <conditionalFormatting sqref="S19">
    <cfRule type="cellIs" priority="864" operator="equal" aboveAverage="0" equalAverage="0" bottom="0" percent="0" rank="0" text="" dxfId="862">
      <formula>$AS$3</formula>
    </cfRule>
  </conditionalFormatting>
  <conditionalFormatting sqref="K19">
    <cfRule type="cellIs" priority="865" operator="equal" aboveAverage="0" equalAverage="0" bottom="0" percent="0" rank="0" text="" dxfId="863">
      <formula>$AS$3</formula>
    </cfRule>
  </conditionalFormatting>
  <conditionalFormatting sqref="K19">
    <cfRule type="cellIs" priority="866" operator="equal" aboveAverage="0" equalAverage="0" bottom="0" percent="0" rank="0" text="" dxfId="864">
      <formula>$AS$3</formula>
    </cfRule>
  </conditionalFormatting>
  <conditionalFormatting sqref="C19:AO19">
    <cfRule type="cellIs" priority="867" operator="equal" aboveAverage="0" equalAverage="0" bottom="0" percent="0" rank="0" text="" dxfId="865">
      <formula>$AS$3</formula>
    </cfRule>
    <cfRule type="cellIs" priority="868" operator="equal" aboveAverage="0" equalAverage="0" bottom="0" percent="0" rank="0" text="" dxfId="866">
      <formula>$AS$3</formula>
    </cfRule>
    <cfRule type="cellIs" priority="869" operator="equal" aboveAverage="0" equalAverage="0" bottom="0" percent="0" rank="0" text="" dxfId="867">
      <formula>$AS$3</formula>
    </cfRule>
    <cfRule type="cellIs" priority="870" operator="equal" aboveAverage="0" equalAverage="0" bottom="0" percent="0" rank="0" text="" dxfId="868">
      <formula>$AS$3</formula>
    </cfRule>
    <cfRule type="cellIs" priority="871" operator="equal" aboveAverage="0" equalAverage="0" bottom="0" percent="0" rank="0" text="" dxfId="869">
      <formula>$AS$3</formula>
    </cfRule>
    <cfRule type="cellIs" priority="872" operator="equal" aboveAverage="0" equalAverage="0" bottom="0" percent="0" rank="0" text="" dxfId="870">
      <formula>$AS$3</formula>
    </cfRule>
    <cfRule type="cellIs" priority="873" operator="equal" aboveAverage="0" equalAverage="0" bottom="0" percent="0" rank="0" text="" dxfId="871">
      <formula>$AS$3</formula>
    </cfRule>
    <cfRule type="cellIs" priority="874" operator="equal" aboveAverage="0" equalAverage="0" bottom="0" percent="0" rank="0" text="" dxfId="872">
      <formula>$AS$3</formula>
    </cfRule>
    <cfRule type="cellIs" priority="875" operator="equal" aboveAverage="0" equalAverage="0" bottom="0" percent="0" rank="0" text="" dxfId="873">
      <formula>$AS$3</formula>
    </cfRule>
    <cfRule type="cellIs" priority="876" operator="equal" aboveAverage="0" equalAverage="0" bottom="0" percent="0" rank="0" text="" dxfId="874">
      <formula>$AS$3</formula>
    </cfRule>
  </conditionalFormatting>
  <conditionalFormatting sqref="C19:J19 R19 Z19:AH19">
    <cfRule type="cellIs" priority="877" operator="equal" aboveAverage="0" equalAverage="0" bottom="0" percent="0" rank="0" text="" dxfId="875">
      <formula>$AS$3</formula>
    </cfRule>
    <cfRule type="cellIs" priority="878" operator="equal" aboveAverage="0" equalAverage="0" bottom="0" percent="0" rank="0" text="" dxfId="876">
      <formula>$AS$3</formula>
    </cfRule>
  </conditionalFormatting>
  <conditionalFormatting sqref="C17:AM17">
    <cfRule type="cellIs" priority="879" operator="equal" aboveAverage="0" equalAverage="0" bottom="0" percent="0" rank="0" text="" dxfId="877">
      <formula>$AS$3</formula>
    </cfRule>
    <cfRule type="cellIs" priority="880" operator="equal" aboveAverage="0" equalAverage="0" bottom="0" percent="0" rank="0" text="" dxfId="878">
      <formula>$AS$3</formula>
    </cfRule>
  </conditionalFormatting>
  <conditionalFormatting sqref="W17">
    <cfRule type="cellIs" priority="881" operator="equal" aboveAverage="0" equalAverage="0" bottom="0" percent="0" rank="0" text="" dxfId="879">
      <formula>$AS$3</formula>
    </cfRule>
  </conditionalFormatting>
  <conditionalFormatting sqref="AG17:AM17 X17:AE17 C17:V17">
    <cfRule type="cellIs" priority="882" operator="equal" aboveAverage="0" equalAverage="0" bottom="0" percent="0" rank="0" text="" dxfId="880">
      <formula>$AS$3</formula>
    </cfRule>
    <cfRule type="cellIs" priority="883" operator="equal" aboveAverage="0" equalAverage="0" bottom="0" percent="0" rank="0" text="" dxfId="881">
      <formula>$AS$3</formula>
    </cfRule>
  </conditionalFormatting>
  <conditionalFormatting sqref="C18:J18 L18:AO18">
    <cfRule type="cellIs" priority="884" operator="equal" aboveAverage="0" equalAverage="0" bottom="0" percent="0" rank="0" text="" dxfId="882">
      <formula>$AS$3</formula>
    </cfRule>
    <cfRule type="cellIs" priority="885" operator="equal" aboveAverage="0" equalAverage="0" bottom="0" percent="0" rank="0" text="" dxfId="883">
      <formula>$AS$3</formula>
    </cfRule>
  </conditionalFormatting>
  <conditionalFormatting sqref="AF18">
    <cfRule type="cellIs" priority="886" operator="equal" aboveAverage="0" equalAverage="0" bottom="0" percent="0" rank="0" text="" dxfId="884">
      <formula>$AS$3</formula>
    </cfRule>
  </conditionalFormatting>
  <conditionalFormatting sqref="X18">
    <cfRule type="cellIs" priority="887" operator="equal" aboveAverage="0" equalAverage="0" bottom="0" percent="0" rank="0" text="" dxfId="885">
      <formula>$AS$3</formula>
    </cfRule>
  </conditionalFormatting>
  <conditionalFormatting sqref="Y18:AE18 AH18:AO18 C18:G18 I18:J18 L18:W18">
    <cfRule type="cellIs" priority="888" operator="equal" aboveAverage="0" equalAverage="0" bottom="0" percent="0" rank="0" text="" dxfId="886">
      <formula>$AS$3</formula>
    </cfRule>
    <cfRule type="cellIs" priority="889" operator="equal" aboveAverage="0" equalAverage="0" bottom="0" percent="0" rank="0" text="" dxfId="887">
      <formula>$AS$3</formula>
    </cfRule>
  </conditionalFormatting>
  <conditionalFormatting sqref="AN17:AO17">
    <cfRule type="cellIs" priority="890" operator="equal" aboveAverage="0" equalAverage="0" bottom="0" percent="0" rank="0" text="" dxfId="888">
      <formula>$AS$3</formula>
    </cfRule>
    <cfRule type="cellIs" priority="891" operator="equal" aboveAverage="0" equalAverage="0" bottom="0" percent="0" rank="0" text="" dxfId="889">
      <formula>$AS$3</formula>
    </cfRule>
    <cfRule type="cellIs" priority="892" operator="equal" aboveAverage="0" equalAverage="0" bottom="0" percent="0" rank="0" text="" dxfId="890">
      <formula>$AS$3</formula>
    </cfRule>
    <cfRule type="cellIs" priority="893" operator="equal" aboveAverage="0" equalAverage="0" bottom="0" percent="0" rank="0" text="" dxfId="891">
      <formula>$AS$3</formula>
    </cfRule>
  </conditionalFormatting>
  <conditionalFormatting sqref="K19">
    <cfRule type="cellIs" priority="894" operator="equal" aboveAverage="0" equalAverage="0" bottom="0" percent="0" rank="0" text="" dxfId="892">
      <formula>$AS$3</formula>
    </cfRule>
  </conditionalFormatting>
  <conditionalFormatting sqref="K19">
    <cfRule type="cellIs" priority="895" operator="equal" aboveAverage="0" equalAverage="0" bottom="0" percent="0" rank="0" text="" dxfId="893">
      <formula>$AS$3</formula>
    </cfRule>
  </conditionalFormatting>
  <conditionalFormatting sqref="H22">
    <cfRule type="cellIs" priority="896" operator="equal" aboveAverage="0" equalAverage="0" bottom="0" percent="0" rank="0" text="" dxfId="894">
      <formula>$AS$3</formula>
    </cfRule>
  </conditionalFormatting>
  <conditionalFormatting sqref="Y22:AO22 I22:W22 C22:G22">
    <cfRule type="cellIs" priority="897" operator="equal" aboveAverage="0" equalAverage="0" bottom="0" percent="0" rank="0" text="" dxfId="895">
      <formula>$AS$3</formula>
    </cfRule>
  </conditionalFormatting>
  <conditionalFormatting sqref="AN23:AO23 C23:AL23">
    <cfRule type="cellIs" priority="898" operator="equal" aboveAverage="0" equalAverage="0" bottom="0" percent="0" rank="0" text="" dxfId="896">
      <formula>$AS$3</formula>
    </cfRule>
  </conditionalFormatting>
  <conditionalFormatting sqref="V20">
    <cfRule type="cellIs" priority="899" operator="equal" aboveAverage="0" equalAverage="0" bottom="0" percent="0" rank="0" text="" dxfId="897">
      <formula>$AS$3</formula>
    </cfRule>
  </conditionalFormatting>
  <conditionalFormatting sqref="V20">
    <cfRule type="cellIs" priority="900" operator="equal" aboveAverage="0" equalAverage="0" bottom="0" percent="0" rank="0" text="" dxfId="898">
      <formula>$AS$3</formula>
    </cfRule>
  </conditionalFormatting>
  <conditionalFormatting sqref="W20">
    <cfRule type="cellIs" priority="901" operator="equal" aboveAverage="0" equalAverage="0" bottom="0" percent="0" rank="0" text="" dxfId="899">
      <formula>$AS$3</formula>
    </cfRule>
  </conditionalFormatting>
  <conditionalFormatting sqref="W20">
    <cfRule type="cellIs" priority="902" operator="equal" aboveAverage="0" equalAverage="0" bottom="0" percent="0" rank="0" text="" dxfId="900">
      <formula>$AS$3</formula>
    </cfRule>
  </conditionalFormatting>
  <conditionalFormatting sqref="U20">
    <cfRule type="cellIs" priority="903" operator="equal" aboveAverage="0" equalAverage="0" bottom="0" percent="0" rank="0" text="" dxfId="901">
      <formula>$AS$3</formula>
    </cfRule>
  </conditionalFormatting>
  <conditionalFormatting sqref="U20">
    <cfRule type="cellIs" priority="904" operator="equal" aboveAverage="0" equalAverage="0" bottom="0" percent="0" rank="0" text="" dxfId="902">
      <formula>$AS$3</formula>
    </cfRule>
  </conditionalFormatting>
  <conditionalFormatting sqref="T20">
    <cfRule type="cellIs" priority="905" operator="equal" aboveAverage="0" equalAverage="0" bottom="0" percent="0" rank="0" text="" dxfId="903">
      <formula>$AS$3</formula>
    </cfRule>
  </conditionalFormatting>
  <conditionalFormatting sqref="T20">
    <cfRule type="cellIs" priority="906" operator="equal" aboveAverage="0" equalAverage="0" bottom="0" percent="0" rank="0" text="" dxfId="904">
      <formula>$AS$3</formula>
    </cfRule>
  </conditionalFormatting>
  <conditionalFormatting sqref="AI20">
    <cfRule type="cellIs" priority="907" operator="equal" aboveAverage="0" equalAverage="0" bottom="0" percent="0" rank="0" text="" dxfId="905">
      <formula>$AS$3</formula>
    </cfRule>
  </conditionalFormatting>
  <conditionalFormatting sqref="AI20">
    <cfRule type="cellIs" priority="908" operator="equal" aboveAverage="0" equalAverage="0" bottom="0" percent="0" rank="0" text="" dxfId="906">
      <formula>$AS$3</formula>
    </cfRule>
  </conditionalFormatting>
  <conditionalFormatting sqref="AM20">
    <cfRule type="cellIs" priority="909" operator="equal" aboveAverage="0" equalAverage="0" bottom="0" percent="0" rank="0" text="" dxfId="907">
      <formula>$AS$3</formula>
    </cfRule>
  </conditionalFormatting>
  <conditionalFormatting sqref="AM20">
    <cfRule type="cellIs" priority="910" operator="equal" aboveAverage="0" equalAverage="0" bottom="0" percent="0" rank="0" text="" dxfId="908">
      <formula>$AS$3</formula>
    </cfRule>
  </conditionalFormatting>
  <conditionalFormatting sqref="S20">
    <cfRule type="cellIs" priority="911" operator="equal" aboveAverage="0" equalAverage="0" bottom="0" percent="0" rank="0" text="" dxfId="909">
      <formula>$AS$3</formula>
    </cfRule>
  </conditionalFormatting>
  <conditionalFormatting sqref="S20">
    <cfRule type="cellIs" priority="912" operator="equal" aboveAverage="0" equalAverage="0" bottom="0" percent="0" rank="0" text="" dxfId="910">
      <formula>$AS$3</formula>
    </cfRule>
  </conditionalFormatting>
  <conditionalFormatting sqref="C20:J20 R20 Z20:AH20">
    <cfRule type="cellIs" priority="913" operator="equal" aboveAverage="0" equalAverage="0" bottom="0" percent="0" rank="0" text="" dxfId="911">
      <formula>$AS$3</formula>
    </cfRule>
  </conditionalFormatting>
  <conditionalFormatting sqref="C18:AM18">
    <cfRule type="cellIs" priority="914" operator="equal" aboveAverage="0" equalAverage="0" bottom="0" percent="0" rank="0" text="" dxfId="912">
      <formula>$AS$3</formula>
    </cfRule>
  </conditionalFormatting>
  <conditionalFormatting sqref="W18">
    <cfRule type="cellIs" priority="915" operator="equal" aboveAverage="0" equalAverage="0" bottom="0" percent="0" rank="0" text="" dxfId="913">
      <formula>$AS$3</formula>
    </cfRule>
  </conditionalFormatting>
  <conditionalFormatting sqref="AG18:AM18 X18:AE18 C18:V18">
    <cfRule type="cellIs" priority="916" operator="equal" aboveAverage="0" equalAverage="0" bottom="0" percent="0" rank="0" text="" dxfId="914">
      <formula>$AS$3</formula>
    </cfRule>
  </conditionalFormatting>
  <conditionalFormatting sqref="U15">
    <cfRule type="cellIs" priority="917" operator="equal" aboveAverage="0" equalAverage="0" bottom="0" percent="0" rank="0" text="" dxfId="915">
      <formula>$AS$3</formula>
    </cfRule>
  </conditionalFormatting>
  <conditionalFormatting sqref="U15">
    <cfRule type="cellIs" priority="918" operator="equal" aboveAverage="0" equalAverage="0" bottom="0" percent="0" rank="0" text="" dxfId="916">
      <formula>$AS$3</formula>
    </cfRule>
  </conditionalFormatting>
  <conditionalFormatting sqref="AE15">
    <cfRule type="cellIs" priority="919" operator="equal" aboveAverage="0" equalAverage="0" bottom="0" percent="0" rank="0" text="" dxfId="917">
      <formula>$AS$3</formula>
    </cfRule>
  </conditionalFormatting>
  <conditionalFormatting sqref="AE15">
    <cfRule type="cellIs" priority="920" operator="equal" aboveAverage="0" equalAverage="0" bottom="0" percent="0" rank="0" text="" dxfId="918">
      <formula>$AS$3</formula>
    </cfRule>
  </conditionalFormatting>
  <conditionalFormatting sqref="AD15">
    <cfRule type="cellIs" priority="921" operator="equal" aboveAverage="0" equalAverage="0" bottom="0" percent="0" rank="0" text="" dxfId="919">
      <formula>$AS$3</formula>
    </cfRule>
  </conditionalFormatting>
  <conditionalFormatting sqref="AD15">
    <cfRule type="cellIs" priority="922" operator="equal" aboveAverage="0" equalAverage="0" bottom="0" percent="0" rank="0" text="" dxfId="920">
      <formula>$AS$3</formula>
    </cfRule>
  </conditionalFormatting>
  <conditionalFormatting sqref="C16:AO16">
    <cfRule type="cellIs" priority="923" operator="equal" aboveAverage="0" equalAverage="0" bottom="0" percent="0" rank="0" text="" dxfId="921">
      <formula>$AS$3</formula>
    </cfRule>
    <cfRule type="cellIs" priority="924" operator="equal" aboveAverage="0" equalAverage="0" bottom="0" percent="0" rank="0" text="" dxfId="922">
      <formula>$AS$3</formula>
    </cfRule>
  </conditionalFormatting>
  <conditionalFormatting sqref="C19:J19 L19:AO19">
    <cfRule type="cellIs" priority="925" operator="equal" aboveAverage="0" equalAverage="0" bottom="0" percent="0" rank="0" text="" dxfId="923">
      <formula>$AS$3</formula>
    </cfRule>
  </conditionalFormatting>
  <conditionalFormatting sqref="AF19">
    <cfRule type="cellIs" priority="926" operator="equal" aboveAverage="0" equalAverage="0" bottom="0" percent="0" rank="0" text="" dxfId="924">
      <formula>$AS$3</formula>
    </cfRule>
  </conditionalFormatting>
  <conditionalFormatting sqref="X19">
    <cfRule type="cellIs" priority="927" operator="equal" aboveAverage="0" equalAverage="0" bottom="0" percent="0" rank="0" text="" dxfId="925">
      <formula>$AS$3</formula>
    </cfRule>
  </conditionalFormatting>
  <conditionalFormatting sqref="Y19:AE19 AH19:AO19 C19:G19 I19:J19 L19:W19">
    <cfRule type="cellIs" priority="928" operator="equal" aboveAverage="0" equalAverage="0" bottom="0" percent="0" rank="0" text="" dxfId="926">
      <formula>$AS$3</formula>
    </cfRule>
  </conditionalFormatting>
  <conditionalFormatting sqref="AN18:AO18">
    <cfRule type="cellIs" priority="929" operator="equal" aboveAverage="0" equalAverage="0" bottom="0" percent="0" rank="0" text="" dxfId="927">
      <formula>$AS$3</formula>
    </cfRule>
    <cfRule type="cellIs" priority="930" operator="equal" aboveAverage="0" equalAverage="0" bottom="0" percent="0" rank="0" text="" dxfId="928">
      <formula>$AS$3</formula>
    </cfRule>
  </conditionalFormatting>
  <conditionalFormatting sqref="AF15:AO15 V15:AC15 C15:T15">
    <cfRule type="cellIs" priority="931" operator="equal" aboveAverage="0" equalAverage="0" bottom="0" percent="0" rank="0" text="" dxfId="929">
      <formula>$AS$3</formula>
    </cfRule>
  </conditionalFormatting>
  <conditionalFormatting sqref="AM15">
    <cfRule type="cellIs" priority="932" operator="equal" aboveAverage="0" equalAverage="0" bottom="0" percent="0" rank="0" text="" dxfId="930">
      <formula>$AS$3</formula>
    </cfRule>
  </conditionalFormatting>
  <conditionalFormatting sqref="AN15:AO15 AF15:AL15 V15:AC15 C15:T15">
    <cfRule type="cellIs" priority="933" operator="equal" aboveAverage="0" equalAverage="0" bottom="0" percent="0" rank="0" text="" dxfId="931">
      <formula>$AS$3</formula>
    </cfRule>
  </conditionalFormatting>
  <conditionalFormatting sqref="AI26">
    <cfRule type="cellIs" priority="934" operator="equal" aboveAverage="0" equalAverage="0" bottom="0" percent="0" rank="0" text="" dxfId="932">
      <formula>$AS$3</formula>
    </cfRule>
  </conditionalFormatting>
  <conditionalFormatting sqref="C14:AO14 C17:AO17">
    <cfRule type="cellIs" priority="935" operator="equal" aboveAverage="0" equalAverage="0" bottom="0" percent="0" rank="0" text="" dxfId="933">
      <formula>$AS$3</formula>
    </cfRule>
  </conditionalFormatting>
  <conditionalFormatting sqref="AN14:AO14 C14:AL14 C17:AO17">
    <cfRule type="cellIs" priority="936" operator="equal" aboveAverage="0" equalAverage="0" bottom="0" percent="0" rank="0" text="" dxfId="934">
      <formula>$AS$3</formula>
    </cfRule>
  </conditionalFormatting>
  <conditionalFormatting sqref="AI24">
    <cfRule type="cellIs" priority="937" operator="equal" aboveAverage="0" equalAverage="0" bottom="0" percent="0" rank="0" text="" dxfId="935">
      <formula>$AS$3</formula>
    </cfRule>
  </conditionalFormatting>
  <conditionalFormatting sqref="P24">
    <cfRule type="cellIs" priority="938" operator="equal" aboveAverage="0" equalAverage="0" bottom="0" percent="0" rank="0" text="" dxfId="936">
      <formula>$AS$3</formula>
    </cfRule>
  </conditionalFormatting>
  <conditionalFormatting sqref="O24">
    <cfRule type="cellIs" priority="939" operator="equal" aboveAverage="0" equalAverage="0" bottom="0" percent="0" rank="0" text="" dxfId="937">
      <formula>$AS$3</formula>
    </cfRule>
  </conditionalFormatting>
  <conditionalFormatting sqref="C24:N24 Q24:V24">
    <cfRule type="cellIs" priority="940" operator="equal" aboveAverage="0" equalAverage="0" bottom="0" percent="0" rank="0" text="" dxfId="938">
      <formula>$AS$3</formula>
    </cfRule>
    <cfRule type="cellIs" priority="941" operator="equal" aboveAverage="0" equalAverage="0" bottom="0" percent="0" rank="0" text="" dxfId="939">
      <formula>$AS$3</formula>
    </cfRule>
    <cfRule type="cellIs" priority="942" operator="equal" aboveAverage="0" equalAverage="0" bottom="0" percent="0" rank="0" text="" dxfId="940">
      <formula>$AS$3</formula>
    </cfRule>
  </conditionalFormatting>
  <conditionalFormatting sqref="Z24:AO24 W24:X24">
    <cfRule type="cellIs" priority="943" operator="equal" aboveAverage="0" equalAverage="0" bottom="0" percent="0" rank="0" text="" dxfId="941">
      <formula>$AS$3</formula>
    </cfRule>
    <cfRule type="cellIs" priority="944" operator="equal" aboveAverage="0" equalAverage="0" bottom="0" percent="0" rank="0" text="" dxfId="942">
      <formula>$AS$3</formula>
    </cfRule>
    <cfRule type="cellIs" priority="945" operator="equal" aboveAverage="0" equalAverage="0" bottom="0" percent="0" rank="0" text="" dxfId="943">
      <formula>$AS$3</formula>
    </cfRule>
  </conditionalFormatting>
  <conditionalFormatting sqref="P24">
    <cfRule type="cellIs" priority="946" operator="equal" aboveAverage="0" equalAverage="0" bottom="0" percent="0" rank="0" text="" dxfId="944">
      <formula>$AS$3</formula>
    </cfRule>
  </conditionalFormatting>
  <conditionalFormatting sqref="O24">
    <cfRule type="cellIs" priority="947" operator="equal" aboveAverage="0" equalAverage="0" bottom="0" percent="0" rank="0" text="" dxfId="945">
      <formula>$AS$3</formula>
    </cfRule>
  </conditionalFormatting>
  <conditionalFormatting sqref="AJ24">
    <cfRule type="cellIs" priority="948" operator="equal" aboveAverage="0" equalAverage="0" bottom="0" percent="0" rank="0" text="" dxfId="946">
      <formula>$AS$3</formula>
    </cfRule>
  </conditionalFormatting>
  <conditionalFormatting sqref="AJ24">
    <cfRule type="cellIs" priority="949" operator="equal" aboveAverage="0" equalAverage="0" bottom="0" percent="0" rank="0" text="" dxfId="947">
      <formula>$AS$3</formula>
    </cfRule>
  </conditionalFormatting>
  <conditionalFormatting sqref="AA24">
    <cfRule type="cellIs" priority="950" operator="equal" aboveAverage="0" equalAverage="0" bottom="0" percent="0" rank="0" text="" dxfId="948">
      <formula>$AS$3</formula>
    </cfRule>
  </conditionalFormatting>
  <conditionalFormatting sqref="AA24">
    <cfRule type="cellIs" priority="951" operator="equal" aboveAverage="0" equalAverage="0" bottom="0" percent="0" rank="0" text="" dxfId="949">
      <formula>$AS$3</formula>
    </cfRule>
  </conditionalFormatting>
  <conditionalFormatting sqref="U24">
    <cfRule type="cellIs" priority="952" operator="equal" aboveAverage="0" equalAverage="0" bottom="0" percent="0" rank="0" text="" dxfId="950">
      <formula>$AS$3</formula>
    </cfRule>
  </conditionalFormatting>
  <conditionalFormatting sqref="U24">
    <cfRule type="cellIs" priority="953" operator="equal" aboveAverage="0" equalAverage="0" bottom="0" percent="0" rank="0" text="" dxfId="951">
      <formula>$AS$3</formula>
    </cfRule>
  </conditionalFormatting>
  <conditionalFormatting sqref="M24">
    <cfRule type="cellIs" priority="954" operator="equal" aboveAverage="0" equalAverage="0" bottom="0" percent="0" rank="0" text="" dxfId="952">
      <formula>$AS$3</formula>
    </cfRule>
  </conditionalFormatting>
  <conditionalFormatting sqref="M24">
    <cfRule type="cellIs" priority="955" operator="equal" aboveAverage="0" equalAverage="0" bottom="0" percent="0" rank="0" text="" dxfId="953">
      <formula>$AS$3</formula>
    </cfRule>
  </conditionalFormatting>
  <conditionalFormatting sqref="C24:L24 N24:T24 V24:Z24 AB24:AI24 AK24:AO24">
    <cfRule type="cellIs" priority="956" operator="equal" aboveAverage="0" equalAverage="0" bottom="0" percent="0" rank="0" text="" dxfId="954">
      <formula>$AS$3</formula>
    </cfRule>
  </conditionalFormatting>
  <conditionalFormatting sqref="S24">
    <cfRule type="cellIs" priority="957" operator="equal" aboveAverage="0" equalAverage="0" bottom="0" percent="0" rank="0" text="" dxfId="955">
      <formula>$AS$3</formula>
    </cfRule>
  </conditionalFormatting>
  <conditionalFormatting sqref="G24">
    <cfRule type="cellIs" priority="958" operator="equal" aboveAverage="0" equalAverage="0" bottom="0" percent="0" rank="0" text="" dxfId="956">
      <formula>$AS$3</formula>
    </cfRule>
  </conditionalFormatting>
  <conditionalFormatting sqref="E24">
    <cfRule type="cellIs" priority="959" operator="equal" aboveAverage="0" equalAverage="0" bottom="0" percent="0" rank="0" text="" dxfId="957">
      <formula>$AS$3</formula>
    </cfRule>
  </conditionalFormatting>
  <conditionalFormatting sqref="C24:D24">
    <cfRule type="cellIs" priority="960" operator="equal" aboveAverage="0" equalAverage="0" bottom="0" percent="0" rank="0" text="" dxfId="958">
      <formula>$AS$3</formula>
    </cfRule>
  </conditionalFormatting>
  <conditionalFormatting sqref="T24 AE24:AI24 H24:L24 N24:R24 V24:Z24 AB24:AC24 AK24:AO24">
    <cfRule type="cellIs" priority="961" operator="equal" aboveAverage="0" equalAverage="0" bottom="0" percent="0" rank="0" text="" dxfId="959">
      <formula>$AS$3</formula>
    </cfRule>
  </conditionalFormatting>
  <conditionalFormatting sqref="AI25">
    <cfRule type="cellIs" priority="962" operator="equal" aboveAverage="0" equalAverage="0" bottom="0" percent="0" rank="0" text="" dxfId="960">
      <formula>$AS$3</formula>
    </cfRule>
  </conditionalFormatting>
  <conditionalFormatting sqref="AI25">
    <cfRule type="cellIs" priority="963" operator="equal" aboveAverage="0" equalAverage="0" bottom="0" percent="0" rank="0" text="" dxfId="961">
      <formula>$AS$3</formula>
    </cfRule>
  </conditionalFormatting>
  <conditionalFormatting sqref="P25">
    <cfRule type="cellIs" priority="964" operator="equal" aboveAverage="0" equalAverage="0" bottom="0" percent="0" rank="0" text="" dxfId="962">
      <formula>$AS$3</formula>
    </cfRule>
  </conditionalFormatting>
  <conditionalFormatting sqref="O25">
    <cfRule type="cellIs" priority="965" operator="equal" aboveAverage="0" equalAverage="0" bottom="0" percent="0" rank="0" text="" dxfId="963">
      <formula>$AS$3</formula>
    </cfRule>
  </conditionalFormatting>
  <conditionalFormatting sqref="AI24">
    <cfRule type="cellIs" priority="966" operator="equal" aboveAverage="0" equalAverage="0" bottom="0" percent="0" rank="0" text="" dxfId="964">
      <formula>$AS$3</formula>
    </cfRule>
  </conditionalFormatting>
  <conditionalFormatting sqref="AI25">
    <cfRule type="cellIs" priority="967" operator="equal" aboveAverage="0" equalAverage="0" bottom="0" percent="0" rank="0" text="" dxfId="965">
      <formula>$AS$3</formula>
    </cfRule>
  </conditionalFormatting>
  <conditionalFormatting sqref="P25">
    <cfRule type="cellIs" priority="968" operator="equal" aboveAverage="0" equalAverage="0" bottom="0" percent="0" rank="0" text="" dxfId="966">
      <formula>$AS$3</formula>
    </cfRule>
  </conditionalFormatting>
  <conditionalFormatting sqref="O25">
    <cfRule type="cellIs" priority="969" operator="equal" aboveAverage="0" equalAverage="0" bottom="0" percent="0" rank="0" text="" dxfId="967">
      <formula>$AS$3</formula>
    </cfRule>
  </conditionalFormatting>
  <conditionalFormatting sqref="AI24">
    <cfRule type="cellIs" priority="970" operator="equal" aboveAverage="0" equalAverage="0" bottom="0" percent="0" rank="0" text="" dxfId="968">
      <formula>$AS$3</formula>
    </cfRule>
  </conditionalFormatting>
  <conditionalFormatting sqref="P25">
    <cfRule type="cellIs" priority="971" operator="equal" aboveAverage="0" equalAverage="0" bottom="0" percent="0" rank="0" text="" dxfId="969">
      <formula>$AS$3</formula>
    </cfRule>
  </conditionalFormatting>
  <conditionalFormatting sqref="O25">
    <cfRule type="cellIs" priority="972" operator="equal" aboveAverage="0" equalAverage="0" bottom="0" percent="0" rank="0" text="" dxfId="970">
      <formula>$AS$3</formula>
    </cfRule>
  </conditionalFormatting>
  <conditionalFormatting sqref="AI24">
    <cfRule type="cellIs" priority="973" operator="equal" aboveAverage="0" equalAverage="0" bottom="0" percent="0" rank="0" text="" dxfId="971">
      <formula>$AS$3</formula>
    </cfRule>
  </conditionalFormatting>
  <conditionalFormatting sqref="AJ25">
    <cfRule type="cellIs" priority="974" operator="equal" aboveAverage="0" equalAverage="0" bottom="0" percent="0" rank="0" text="" dxfId="972">
      <formula>$AS$3</formula>
    </cfRule>
  </conditionalFormatting>
  <conditionalFormatting sqref="AJ25">
    <cfRule type="cellIs" priority="975" operator="equal" aboveAverage="0" equalAverage="0" bottom="0" percent="0" rank="0" text="" dxfId="973">
      <formula>$AS$3</formula>
    </cfRule>
  </conditionalFormatting>
  <conditionalFormatting sqref="AA25">
    <cfRule type="cellIs" priority="976" operator="equal" aboveAverage="0" equalAverage="0" bottom="0" percent="0" rank="0" text="" dxfId="974">
      <formula>$AS$3</formula>
    </cfRule>
  </conditionalFormatting>
  <conditionalFormatting sqref="AA25">
    <cfRule type="cellIs" priority="977" operator="equal" aboveAverage="0" equalAverage="0" bottom="0" percent="0" rank="0" text="" dxfId="975">
      <formula>$AS$3</formula>
    </cfRule>
  </conditionalFormatting>
  <conditionalFormatting sqref="U25">
    <cfRule type="cellIs" priority="978" operator="equal" aboveAverage="0" equalAverage="0" bottom="0" percent="0" rank="0" text="" dxfId="976">
      <formula>$AS$3</formula>
    </cfRule>
  </conditionalFormatting>
  <conditionalFormatting sqref="U25">
    <cfRule type="cellIs" priority="979" operator="equal" aboveAverage="0" equalAverage="0" bottom="0" percent="0" rank="0" text="" dxfId="977">
      <formula>$AS$3</formula>
    </cfRule>
  </conditionalFormatting>
  <conditionalFormatting sqref="M25">
    <cfRule type="cellIs" priority="980" operator="equal" aboveAverage="0" equalAverage="0" bottom="0" percent="0" rank="0" text="" dxfId="978">
      <formula>$AS$3</formula>
    </cfRule>
  </conditionalFormatting>
  <conditionalFormatting sqref="M25">
    <cfRule type="cellIs" priority="981" operator="equal" aboveAverage="0" equalAverage="0" bottom="0" percent="0" rank="0" text="" dxfId="979">
      <formula>$AS$3</formula>
    </cfRule>
  </conditionalFormatting>
  <conditionalFormatting sqref="P24">
    <cfRule type="cellIs" priority="982" operator="equal" aboveAverage="0" equalAverage="0" bottom="0" percent="0" rank="0" text="" dxfId="980">
      <formula>$AS$3</formula>
    </cfRule>
  </conditionalFormatting>
  <conditionalFormatting sqref="O24">
    <cfRule type="cellIs" priority="983" operator="equal" aboveAverage="0" equalAverage="0" bottom="0" percent="0" rank="0" text="" dxfId="981">
      <formula>$AS$3</formula>
    </cfRule>
  </conditionalFormatting>
  <conditionalFormatting sqref="C23 J23:Z23 AH23:AO23">
    <cfRule type="cellIs" priority="984" operator="equal" aboveAverage="0" equalAverage="0" bottom="0" percent="0" rank="0" text="" dxfId="982">
      <formula>$AS$3</formula>
    </cfRule>
  </conditionalFormatting>
  <conditionalFormatting sqref="AI23">
    <cfRule type="cellIs" priority="985" operator="equal" aboveAverage="0" equalAverage="0" bottom="0" percent="0" rank="0" text="" dxfId="983">
      <formula>$AS$3</formula>
    </cfRule>
  </conditionalFormatting>
  <conditionalFormatting sqref="AH23 AJ23:AO23 C23 J23:Z23">
    <cfRule type="cellIs" priority="986" operator="equal" aboveAverage="0" equalAverage="0" bottom="0" percent="0" rank="0" text="" dxfId="984">
      <formula>$AS$3</formula>
    </cfRule>
  </conditionalFormatting>
  <conditionalFormatting sqref="S25">
    <cfRule type="cellIs" priority="987" operator="equal" aboveAverage="0" equalAverage="0" bottom="0" percent="0" rank="0" text="" dxfId="985">
      <formula>$AS$3</formula>
    </cfRule>
  </conditionalFormatting>
  <conditionalFormatting sqref="G25">
    <cfRule type="cellIs" priority="988" operator="equal" aboveAverage="0" equalAverage="0" bottom="0" percent="0" rank="0" text="" dxfId="986">
      <formula>$AS$3</formula>
    </cfRule>
  </conditionalFormatting>
  <conditionalFormatting sqref="E25">
    <cfRule type="cellIs" priority="989" operator="equal" aboveAverage="0" equalAverage="0" bottom="0" percent="0" rank="0" text="" dxfId="987">
      <formula>$AS$3</formula>
    </cfRule>
  </conditionalFormatting>
  <conditionalFormatting sqref="K17">
    <cfRule type="cellIs" priority="990" operator="equal" aboveAverage="0" equalAverage="0" bottom="0" percent="0" rank="0" text="" dxfId="988">
      <formula>$AS$3</formula>
    </cfRule>
  </conditionalFormatting>
  <conditionalFormatting sqref="K17">
    <cfRule type="cellIs" priority="991" operator="equal" aboveAverage="0" equalAverage="0" bottom="0" percent="0" rank="0" text="" dxfId="989">
      <formula>$AS$3</formula>
    </cfRule>
  </conditionalFormatting>
  <conditionalFormatting sqref="H20">
    <cfRule type="cellIs" priority="992" operator="equal" aboveAverage="0" equalAverage="0" bottom="0" percent="0" rank="0" text="" dxfId="990">
      <formula>$AS$3</formula>
    </cfRule>
  </conditionalFormatting>
  <conditionalFormatting sqref="Y20:AO20 I20:J20 C20:G20 L20:W20">
    <cfRule type="cellIs" priority="993" operator="equal" aboveAverage="0" equalAverage="0" bottom="0" percent="0" rank="0" text="" dxfId="991">
      <formula>$AS$3</formula>
    </cfRule>
  </conditionalFormatting>
  <conditionalFormatting sqref="AN20:AO20 C20:J20 L20:AL20">
    <cfRule type="cellIs" priority="994" operator="equal" aboveAverage="0" equalAverage="0" bottom="0" percent="0" rank="0" text="" dxfId="992">
      <formula>$AS$3</formula>
    </cfRule>
    <cfRule type="cellIs" priority="995" operator="equal" aboveAverage="0" equalAverage="0" bottom="0" percent="0" rank="0" text="" dxfId="993">
      <formula>$AS$3</formula>
    </cfRule>
  </conditionalFormatting>
  <conditionalFormatting sqref="V18">
    <cfRule type="cellIs" priority="996" operator="equal" aboveAverage="0" equalAverage="0" bottom="0" percent="0" rank="0" text="" dxfId="994">
      <formula>$AS$3</formula>
    </cfRule>
  </conditionalFormatting>
  <conditionalFormatting sqref="V18">
    <cfRule type="cellIs" priority="997" operator="equal" aboveAverage="0" equalAverage="0" bottom="0" percent="0" rank="0" text="" dxfId="995">
      <formula>$AS$3</formula>
    </cfRule>
  </conditionalFormatting>
  <conditionalFormatting sqref="W18">
    <cfRule type="cellIs" priority="998" operator="equal" aboveAverage="0" equalAverage="0" bottom="0" percent="0" rank="0" text="" dxfId="996">
      <formula>$AS$3</formula>
    </cfRule>
  </conditionalFormatting>
  <conditionalFormatting sqref="W18">
    <cfRule type="cellIs" priority="999" operator="equal" aboveAverage="0" equalAverage="0" bottom="0" percent="0" rank="0" text="" dxfId="997">
      <formula>$AS$3</formula>
    </cfRule>
  </conditionalFormatting>
  <conditionalFormatting sqref="U18">
    <cfRule type="cellIs" priority="1000" operator="equal" aboveAverage="0" equalAverage="0" bottom="0" percent="0" rank="0" text="" dxfId="998">
      <formula>$AS$3</formula>
    </cfRule>
  </conditionalFormatting>
  <conditionalFormatting sqref="U18">
    <cfRule type="cellIs" priority="1001" operator="equal" aboveAverage="0" equalAverage="0" bottom="0" percent="0" rank="0" text="" dxfId="999">
      <formula>$AS$3</formula>
    </cfRule>
  </conditionalFormatting>
  <conditionalFormatting sqref="T18">
    <cfRule type="cellIs" priority="1002" operator="equal" aboveAverage="0" equalAverage="0" bottom="0" percent="0" rank="0" text="" dxfId="1000">
      <formula>$AS$3</formula>
    </cfRule>
  </conditionalFormatting>
  <conditionalFormatting sqref="T18">
    <cfRule type="cellIs" priority="1003" operator="equal" aboveAverage="0" equalAverage="0" bottom="0" percent="0" rank="0" text="" dxfId="1001">
      <formula>$AS$3</formula>
    </cfRule>
  </conditionalFormatting>
  <conditionalFormatting sqref="AI18">
    <cfRule type="cellIs" priority="1004" operator="equal" aboveAverage="0" equalAverage="0" bottom="0" percent="0" rank="0" text="" dxfId="1002">
      <formula>$AS$3</formula>
    </cfRule>
  </conditionalFormatting>
  <conditionalFormatting sqref="AI18">
    <cfRule type="cellIs" priority="1005" operator="equal" aboveAverage="0" equalAverage="0" bottom="0" percent="0" rank="0" text="" dxfId="1003">
      <formula>$AS$3</formula>
    </cfRule>
  </conditionalFormatting>
  <conditionalFormatting sqref="AM18">
    <cfRule type="cellIs" priority="1006" operator="equal" aboveAverage="0" equalAverage="0" bottom="0" percent="0" rank="0" text="" dxfId="1004">
      <formula>$AS$3</formula>
    </cfRule>
  </conditionalFormatting>
  <conditionalFormatting sqref="AM18">
    <cfRule type="cellIs" priority="1007" operator="equal" aboveAverage="0" equalAverage="0" bottom="0" percent="0" rank="0" text="" dxfId="1005">
      <formula>$AS$3</formula>
    </cfRule>
  </conditionalFormatting>
  <conditionalFormatting sqref="S18">
    <cfRule type="cellIs" priority="1008" operator="equal" aboveAverage="0" equalAverage="0" bottom="0" percent="0" rank="0" text="" dxfId="1006">
      <formula>$AS$3</formula>
    </cfRule>
  </conditionalFormatting>
  <conditionalFormatting sqref="S18">
    <cfRule type="cellIs" priority="1009" operator="equal" aboveAverage="0" equalAverage="0" bottom="0" percent="0" rank="0" text="" dxfId="1007">
      <formula>$AS$3</formula>
    </cfRule>
  </conditionalFormatting>
  <conditionalFormatting sqref="K18">
    <cfRule type="cellIs" priority="1010" operator="equal" aboveAverage="0" equalAverage="0" bottom="0" percent="0" rank="0" text="" dxfId="1008">
      <formula>$AS$3</formula>
    </cfRule>
  </conditionalFormatting>
  <conditionalFormatting sqref="K18">
    <cfRule type="cellIs" priority="1011" operator="equal" aboveAverage="0" equalAverage="0" bottom="0" percent="0" rank="0" text="" dxfId="1009">
      <formula>$AS$3</formula>
    </cfRule>
  </conditionalFormatting>
  <conditionalFormatting sqref="C18:AO18">
    <cfRule type="cellIs" priority="1012" operator="equal" aboveAverage="0" equalAverage="0" bottom="0" percent="0" rank="0" text="" dxfId="1010">
      <formula>$AS$3</formula>
    </cfRule>
  </conditionalFormatting>
  <conditionalFormatting sqref="C18:J18 R18 Z18:AH18">
    <cfRule type="cellIs" priority="1013" operator="equal" aboveAverage="0" equalAverage="0" bottom="0" percent="0" rank="0" text="" dxfId="1011">
      <formula>$AS$3</formula>
    </cfRule>
  </conditionalFormatting>
  <conditionalFormatting sqref="C16:AM16">
    <cfRule type="cellIs" priority="1014" operator="equal" aboveAverage="0" equalAverage="0" bottom="0" percent="0" rank="0" text="" dxfId="1012">
      <formula>$AS$3</formula>
    </cfRule>
  </conditionalFormatting>
  <conditionalFormatting sqref="W16">
    <cfRule type="cellIs" priority="1015" operator="equal" aboveAverage="0" equalAverage="0" bottom="0" percent="0" rank="0" text="" dxfId="1013">
      <formula>$AS$3</formula>
    </cfRule>
  </conditionalFormatting>
  <conditionalFormatting sqref="AG16:AM16 X16:AE16 C16:V16">
    <cfRule type="cellIs" priority="1016" operator="equal" aboveAverage="0" equalAverage="0" bottom="0" percent="0" rank="0" text="" dxfId="1014">
      <formula>$AS$3</formula>
    </cfRule>
  </conditionalFormatting>
  <conditionalFormatting sqref="C17:J17 L17:AO17">
    <cfRule type="cellIs" priority="1017" operator="equal" aboveAverage="0" equalAverage="0" bottom="0" percent="0" rank="0" text="" dxfId="1015">
      <formula>$AS$3</formula>
    </cfRule>
  </conditionalFormatting>
  <conditionalFormatting sqref="AF17">
    <cfRule type="cellIs" priority="1018" operator="equal" aboveAverage="0" equalAverage="0" bottom="0" percent="0" rank="0" text="" dxfId="1016">
      <formula>$AS$3</formula>
    </cfRule>
  </conditionalFormatting>
  <conditionalFormatting sqref="X17">
    <cfRule type="cellIs" priority="1019" operator="equal" aboveAverage="0" equalAverage="0" bottom="0" percent="0" rank="0" text="" dxfId="1017">
      <formula>$AS$3</formula>
    </cfRule>
  </conditionalFormatting>
  <conditionalFormatting sqref="Y17:AE17 AH17:AO17 C17:G17 I17:J17 L17:W17">
    <cfRule type="cellIs" priority="1020" operator="equal" aboveAverage="0" equalAverage="0" bottom="0" percent="0" rank="0" text="" dxfId="1018">
      <formula>$AS$3</formula>
    </cfRule>
  </conditionalFormatting>
  <conditionalFormatting sqref="AN16:AO16">
    <cfRule type="cellIs" priority="1021" operator="equal" aboveAverage="0" equalAverage="0" bottom="0" percent="0" rank="0" text="" dxfId="1019">
      <formula>$AS$3</formula>
    </cfRule>
    <cfRule type="cellIs" priority="1022" operator="equal" aboveAverage="0" equalAverage="0" bottom="0" percent="0" rank="0" text="" dxfId="1020">
      <formula>$AS$3</formula>
    </cfRule>
  </conditionalFormatting>
  <conditionalFormatting sqref="T6">
    <cfRule type="cellIs" priority="1023" operator="equal" aboveAverage="0" equalAverage="0" bottom="0" percent="0" rank="0" text="" dxfId="1021">
      <formula>$AS$3</formula>
    </cfRule>
  </conditionalFormatting>
  <conditionalFormatting sqref="T6">
    <cfRule type="cellIs" priority="1024" operator="equal" aboveAverage="0" equalAverage="0" bottom="0" percent="0" rank="0" text="" dxfId="1022">
      <formula>$AS$3</formula>
    </cfRule>
  </conditionalFormatting>
  <conditionalFormatting sqref="T11">
    <cfRule type="cellIs" priority="1025" operator="equal" aboveAverage="0" equalAverage="0" bottom="0" percent="0" rank="0" text="" dxfId="1023">
      <formula>$AS$3</formula>
    </cfRule>
  </conditionalFormatting>
  <conditionalFormatting sqref="T11">
    <cfRule type="cellIs" priority="1026" operator="equal" aboveAverage="0" equalAverage="0" bottom="0" percent="0" rank="0" text="" dxfId="1024">
      <formula>$AS$3</formula>
    </cfRule>
  </conditionalFormatting>
  <conditionalFormatting sqref="K18">
    <cfRule type="cellIs" priority="1027" operator="equal" aboveAverage="0" equalAverage="0" bottom="0" percent="0" rank="0" text="" dxfId="1025">
      <formula>$AS$3</formula>
    </cfRule>
  </conditionalFormatting>
  <conditionalFormatting sqref="K18">
    <cfRule type="cellIs" priority="1028" operator="equal" aboveAverage="0" equalAverage="0" bottom="0" percent="0" rank="0" text="" dxfId="1026">
      <formula>$AS$3</formula>
    </cfRule>
  </conditionalFormatting>
  <conditionalFormatting sqref="C45:AH45">
    <cfRule type="cellIs" priority="1029" operator="equal" aboveAverage="0" equalAverage="0" bottom="0" percent="0" rank="0" text="" dxfId="1027">
      <formula>$AS$3</formula>
    </cfRule>
  </conditionalFormatting>
  <conditionalFormatting sqref="C45:R45 AH45 Z45">
    <cfRule type="cellIs" priority="1030" operator="equal" aboveAverage="0" equalAverage="0" bottom="0" percent="0" rank="0" text="" dxfId="1028">
      <formula>$AS$3</formula>
    </cfRule>
  </conditionalFormatting>
  <conditionalFormatting sqref="AJ28">
    <cfRule type="cellIs" priority="1031" operator="equal" aboveAverage="0" equalAverage="0" bottom="0" percent="0" rank="0" text="" dxfId="1029">
      <formula>$AS$3</formula>
    </cfRule>
  </conditionalFormatting>
  <conditionalFormatting sqref="AJ28">
    <cfRule type="cellIs" priority="1032" operator="equal" aboveAverage="0" equalAverage="0" bottom="0" percent="0" rank="0" text="" dxfId="1030">
      <formula>$AS$3</formula>
    </cfRule>
  </conditionalFormatting>
  <conditionalFormatting sqref="AA28">
    <cfRule type="cellIs" priority="1033" operator="equal" aboveAverage="0" equalAverage="0" bottom="0" percent="0" rank="0" text="" dxfId="1031">
      <formula>$AS$3</formula>
    </cfRule>
  </conditionalFormatting>
  <conditionalFormatting sqref="AA28">
    <cfRule type="cellIs" priority="1034" operator="equal" aboveAverage="0" equalAverage="0" bottom="0" percent="0" rank="0" text="" dxfId="1032">
      <formula>$AS$3</formula>
    </cfRule>
  </conditionalFormatting>
  <conditionalFormatting sqref="U28">
    <cfRule type="cellIs" priority="1035" operator="equal" aboveAverage="0" equalAverage="0" bottom="0" percent="0" rank="0" text="" dxfId="1033">
      <formula>$AS$3</formula>
    </cfRule>
  </conditionalFormatting>
  <conditionalFormatting sqref="U28">
    <cfRule type="cellIs" priority="1036" operator="equal" aboveAverage="0" equalAverage="0" bottom="0" percent="0" rank="0" text="" dxfId="1034">
      <formula>$AS$3</formula>
    </cfRule>
  </conditionalFormatting>
  <conditionalFormatting sqref="M28">
    <cfRule type="cellIs" priority="1037" operator="equal" aboveAverage="0" equalAverage="0" bottom="0" percent="0" rank="0" text="" dxfId="1035">
      <formula>$AS$3</formula>
    </cfRule>
  </conditionalFormatting>
  <conditionalFormatting sqref="M28">
    <cfRule type="cellIs" priority="1038" operator="equal" aboveAverage="0" equalAverage="0" bottom="0" percent="0" rank="0" text="" dxfId="1036">
      <formula>$AS$3</formula>
    </cfRule>
  </conditionalFormatting>
  <conditionalFormatting sqref="C29:AO29">
    <cfRule type="cellIs" priority="1039" operator="equal" aboveAverage="0" equalAverage="0" bottom="0" percent="0" rank="0" text="" dxfId="1037">
      <formula>$AS$3</formula>
    </cfRule>
  </conditionalFormatting>
  <conditionalFormatting sqref="S29">
    <cfRule type="cellIs" priority="1040" operator="equal" aboveAverage="0" equalAverage="0" bottom="0" percent="0" rank="0" text="" dxfId="1038">
      <formula>$AS$3</formula>
    </cfRule>
  </conditionalFormatting>
  <conditionalFormatting sqref="G29">
    <cfRule type="cellIs" priority="1041" operator="equal" aboveAverage="0" equalAverage="0" bottom="0" percent="0" rank="0" text="" dxfId="1039">
      <formula>$AS$3</formula>
    </cfRule>
  </conditionalFormatting>
  <conditionalFormatting sqref="E29">
    <cfRule type="cellIs" priority="1042" operator="equal" aboveAverage="0" equalAverage="0" bottom="0" percent="0" rank="0" text="" dxfId="1040">
      <formula>$AS$3</formula>
    </cfRule>
  </conditionalFormatting>
  <conditionalFormatting sqref="C29:D29">
    <cfRule type="cellIs" priority="1043" operator="equal" aboveAverage="0" equalAverage="0" bottom="0" percent="0" rank="0" text="" dxfId="1041">
      <formula>$AS$3</formula>
    </cfRule>
  </conditionalFormatting>
  <conditionalFormatting sqref="T29:AC29 AE29:AO29 H29:R29">
    <cfRule type="cellIs" priority="1044" operator="equal" aboveAverage="0" equalAverage="0" bottom="0" percent="0" rank="0" text="" dxfId="1042">
      <formula>$AS$3</formula>
    </cfRule>
  </conditionalFormatting>
  <conditionalFormatting sqref="C30:J30 R30 Z30:AH30">
    <cfRule type="cellIs" priority="1045" operator="equal" aboveAverage="0" equalAverage="0" bottom="0" percent="0" rank="0" text="" dxfId="1043">
      <formula>$AS$3</formula>
    </cfRule>
  </conditionalFormatting>
  <conditionalFormatting sqref="C30 J30 R30 AH30 Z30">
    <cfRule type="cellIs" priority="1046" operator="equal" aboveAverage="0" equalAverage="0" bottom="0" percent="0" rank="0" text="" dxfId="1044">
      <formula>$AS$3</formula>
    </cfRule>
  </conditionalFormatting>
  <conditionalFormatting sqref="H21">
    <cfRule type="cellIs" priority="1047" operator="equal" aboveAverage="0" equalAverage="0" bottom="0" percent="0" rank="0" text="" dxfId="1045">
      <formula>$AS$3</formula>
    </cfRule>
  </conditionalFormatting>
  <conditionalFormatting sqref="C27">
    <cfRule type="cellIs" priority="1048" operator="equal" aboveAverage="0" equalAverage="0" bottom="0" percent="0" rank="0" text="" dxfId="1046">
      <formula>$AS$3</formula>
    </cfRule>
  </conditionalFormatting>
  <conditionalFormatting sqref="C27">
    <cfRule type="cellIs" priority="1049" operator="equal" aboveAverage="0" equalAverage="0" bottom="0" percent="0" rank="0" text="" dxfId="1047">
      <formula>$AS$3</formula>
    </cfRule>
  </conditionalFormatting>
  <conditionalFormatting sqref="C28:L28 C31:AO31 N28:T28 V28:Z28 AB28:AI28 AK28:AO28">
    <cfRule type="cellIs" priority="1050" operator="equal" aboveAverage="0" equalAverage="0" bottom="0" percent="0" rank="0" text="" dxfId="1048">
      <formula>$AS$3</formula>
    </cfRule>
  </conditionalFormatting>
  <conditionalFormatting sqref="S28">
    <cfRule type="cellIs" priority="1051" operator="equal" aboveAverage="0" equalAverage="0" bottom="0" percent="0" rank="0" text="" dxfId="1049">
      <formula>$AS$3</formula>
    </cfRule>
  </conditionalFormatting>
  <conditionalFormatting sqref="G28">
    <cfRule type="cellIs" priority="1052" operator="equal" aboveAverage="0" equalAverage="0" bottom="0" percent="0" rank="0" text="" dxfId="1050">
      <formula>$AS$3</formula>
    </cfRule>
  </conditionalFormatting>
  <conditionalFormatting sqref="E28">
    <cfRule type="cellIs" priority="1053" operator="equal" aboveAverage="0" equalAverage="0" bottom="0" percent="0" rank="0" text="" dxfId="1051">
      <formula>$AS$3</formula>
    </cfRule>
  </conditionalFormatting>
  <conditionalFormatting sqref="P31">
    <cfRule type="cellIs" priority="1054" operator="equal" aboveAverage="0" equalAverage="0" bottom="0" percent="0" rank="0" text="" dxfId="1052">
      <formula>$AS$3</formula>
    </cfRule>
  </conditionalFormatting>
  <conditionalFormatting sqref="O31">
    <cfRule type="cellIs" priority="1055" operator="equal" aboveAverage="0" equalAverage="0" bottom="0" percent="0" rank="0" text="" dxfId="1053">
      <formula>$AS$3</formula>
    </cfRule>
  </conditionalFormatting>
  <conditionalFormatting sqref="C31:N31 Q31:V31 C28:D28">
    <cfRule type="cellIs" priority="1056" operator="equal" aboveAverage="0" equalAverage="0" bottom="0" percent="0" rank="0" text="" dxfId="1054">
      <formula>$AS$3</formula>
    </cfRule>
  </conditionalFormatting>
  <conditionalFormatting sqref="Z31:AO31 W31:X31 T28 AE28:AI28 H28:L28 N28:R28 V28:Z28 AB28:AC28 AK28:AO28">
    <cfRule type="cellIs" priority="1057" operator="equal" aboveAverage="0" equalAverage="0" bottom="0" percent="0" rank="0" text="" dxfId="1055">
      <formula>$AS$3</formula>
    </cfRule>
  </conditionalFormatting>
  <conditionalFormatting sqref="AN38">
    <cfRule type="cellIs" priority="1058" operator="equal" aboveAverage="0" equalAverage="0" bottom="0" percent="0" rank="0" text="" dxfId="1056">
      <formula>$AS$3</formula>
    </cfRule>
  </conditionalFormatting>
  <conditionalFormatting sqref="AN38">
    <cfRule type="cellIs" priority="1059" operator="equal" aboveAverage="0" equalAverage="0" bottom="0" percent="0" rank="0" text="" dxfId="1057">
      <formula>$AS$3</formula>
    </cfRule>
  </conditionalFormatting>
  <conditionalFormatting sqref="W38">
    <cfRule type="cellIs" priority="1060" operator="equal" aboveAverage="0" equalAverage="0" bottom="0" percent="0" rank="0" text="" dxfId="1058">
      <formula>$AS$3</formula>
    </cfRule>
  </conditionalFormatting>
  <conditionalFormatting sqref="W38">
    <cfRule type="cellIs" priority="1061" operator="equal" aboveAverage="0" equalAverage="0" bottom="0" percent="0" rank="0" text="" dxfId="1059">
      <formula>$AS$3</formula>
    </cfRule>
  </conditionalFormatting>
  <conditionalFormatting sqref="J38">
    <cfRule type="cellIs" priority="1062" operator="equal" aboveAverage="0" equalAverage="0" bottom="0" percent="0" rank="0" text="" dxfId="1060">
      <formula>$AS$3</formula>
    </cfRule>
  </conditionalFormatting>
  <conditionalFormatting sqref="J38">
    <cfRule type="cellIs" priority="1063" operator="equal" aboveAverage="0" equalAverage="0" bottom="0" percent="0" rank="0" text="" dxfId="1061">
      <formula>$AS$3</formula>
    </cfRule>
  </conditionalFormatting>
  <conditionalFormatting sqref="C31:AO31">
    <cfRule type="cellIs" priority="1064" operator="equal" aboveAverage="0" equalAverage="0" bottom="0" percent="0" rank="0" text="" dxfId="1062">
      <formula>$AS$3</formula>
    </cfRule>
    <cfRule type="cellIs" priority="1065" operator="equal" aboveAverage="0" equalAverage="0" bottom="0" percent="0" rank="0" text="" dxfId="1063">
      <formula>$AS$3</formula>
    </cfRule>
  </conditionalFormatting>
  <conditionalFormatting sqref="W31">
    <cfRule type="cellIs" priority="1066" operator="equal" aboveAverage="0" equalAverage="0" bottom="0" percent="0" rank="0" text="" dxfId="1064">
      <formula>$AS$3</formula>
    </cfRule>
  </conditionalFormatting>
  <conditionalFormatting sqref="AO31 AG31:AM31 X31:AE31 C31:V31">
    <cfRule type="cellIs" priority="1067" operator="equal" aboveAverage="0" equalAverage="0" bottom="0" percent="0" rank="0" text="" dxfId="1065">
      <formula>$AS$3</formula>
    </cfRule>
  </conditionalFormatting>
  <conditionalFormatting sqref="C32:AO32">
    <cfRule type="cellIs" priority="1068" operator="equal" aboveAverage="0" equalAverage="0" bottom="0" percent="0" rank="0" text="" dxfId="1066">
      <formula>$AS$3</formula>
    </cfRule>
    <cfRule type="cellIs" priority="1069" operator="equal" aboveAverage="0" equalAverage="0" bottom="0" percent="0" rank="0" text="" dxfId="1067">
      <formula>$AS$3</formula>
    </cfRule>
    <cfRule type="cellIs" priority="1070" operator="equal" aboveAverage="0" equalAverage="0" bottom="0" percent="0" rank="0" text="" dxfId="1068">
      <formula>$AS$3</formula>
    </cfRule>
  </conditionalFormatting>
  <conditionalFormatting sqref="U32">
    <cfRule type="cellIs" priority="1071" operator="equal" aboveAverage="0" equalAverage="0" bottom="0" percent="0" rank="0" text="" dxfId="1069">
      <formula>$AS$3</formula>
    </cfRule>
  </conditionalFormatting>
  <conditionalFormatting sqref="W32">
    <cfRule type="cellIs" priority="1072" operator="equal" aboveAverage="0" equalAverage="0" bottom="0" percent="0" rank="0" text="" dxfId="1070">
      <formula>$AS$3</formula>
    </cfRule>
  </conditionalFormatting>
  <conditionalFormatting sqref="C32:T32 V32 X32:AO32">
    <cfRule type="cellIs" priority="1073" operator="equal" aboveAverage="0" equalAverage="0" bottom="0" percent="0" rank="0" text="" dxfId="1071">
      <formula>$AS$3</formula>
    </cfRule>
  </conditionalFormatting>
  <conditionalFormatting sqref="J42 R42:Z42 AH42:AO42">
    <cfRule type="cellIs" priority="1074" operator="equal" aboveAverage="0" equalAverage="0" bottom="0" percent="0" rank="0" text="" dxfId="1072">
      <formula>$AS$3</formula>
    </cfRule>
  </conditionalFormatting>
  <conditionalFormatting sqref="J42 Z42 R42 AH42">
    <cfRule type="cellIs" priority="1075" operator="equal" aboveAverage="0" equalAverage="0" bottom="0" percent="0" rank="0" text="" dxfId="1073">
      <formula>$AS$3</formula>
    </cfRule>
  </conditionalFormatting>
  <conditionalFormatting sqref="AB40:AO40 C40:Z40">
    <cfRule type="cellIs" priority="1076" operator="equal" aboveAverage="0" equalAverage="0" bottom="0" percent="0" rank="0" text="" dxfId="1074">
      <formula>$AS$3</formula>
    </cfRule>
    <cfRule type="cellIs" priority="1077" operator="equal" aboveAverage="0" equalAverage="0" bottom="0" percent="0" rank="0" text="" dxfId="1075">
      <formula>$AS$3</formula>
    </cfRule>
    <cfRule type="cellIs" priority="1078" operator="equal" aboveAverage="0" equalAverage="0" bottom="0" percent="0" rank="0" text="" dxfId="1076">
      <formula>$AS$3</formula>
    </cfRule>
    <cfRule type="cellIs" priority="1079" operator="equal" aboveAverage="0" equalAverage="0" bottom="0" percent="0" rank="0" text="" dxfId="1077">
      <formula>$AS$3</formula>
    </cfRule>
  </conditionalFormatting>
  <conditionalFormatting sqref="C41:AO41">
    <cfRule type="cellIs" priority="1080" operator="equal" aboveAverage="0" equalAverage="0" bottom="0" percent="0" rank="0" text="" dxfId="1078">
      <formula>$AS$3</formula>
    </cfRule>
    <cfRule type="cellIs" priority="1081" operator="equal" aboveAverage="0" equalAverage="0" bottom="0" percent="0" rank="0" text="" dxfId="1079">
      <formula>$AS$3</formula>
    </cfRule>
  </conditionalFormatting>
  <conditionalFormatting sqref="C38:I38 K38:V38 X38:AM38 AO38">
    <cfRule type="cellIs" priority="1082" operator="equal" aboveAverage="0" equalAverage="0" bottom="0" percent="0" rank="0" text="" dxfId="1080">
      <formula>$AS$3</formula>
    </cfRule>
  </conditionalFormatting>
  <conditionalFormatting sqref="AC38">
    <cfRule type="cellIs" priority="1083" operator="equal" aboveAverage="0" equalAverage="0" bottom="0" percent="0" rank="0" text="" dxfId="1081">
      <formula>$AS$3</formula>
    </cfRule>
  </conditionalFormatting>
  <conditionalFormatting sqref="AF38">
    <cfRule type="cellIs" priority="1084" operator="equal" aboveAverage="0" equalAverage="0" bottom="0" percent="0" rank="0" text="" dxfId="1082">
      <formula>$AS$3</formula>
    </cfRule>
  </conditionalFormatting>
  <conditionalFormatting sqref="AA38">
    <cfRule type="cellIs" priority="1085" operator="equal" aboveAverage="0" equalAverage="0" bottom="0" percent="0" rank="0" text="" dxfId="1083">
      <formula>$AS$3</formula>
    </cfRule>
  </conditionalFormatting>
  <conditionalFormatting sqref="AD38:AE38 AB38 AG38:AH38 C38 K38:R38 Z38">
    <cfRule type="cellIs" priority="1086" operator="equal" aboveAverage="0" equalAverage="0" bottom="0" percent="0" rank="0" text="" dxfId="1084">
      <formula>$AS$3</formula>
    </cfRule>
  </conditionalFormatting>
  <conditionalFormatting sqref="C33:G33 I33:AO33">
    <cfRule type="cellIs" priority="1087" operator="equal" aboveAverage="0" equalAverage="0" bottom="0" percent="0" rank="0" text="" dxfId="1085">
      <formula>$AS$3</formula>
    </cfRule>
    <cfRule type="cellIs" priority="1088" operator="equal" aboveAverage="0" equalAverage="0" bottom="0" percent="0" rank="0" text="" dxfId="1086">
      <formula>$AS$3</formula>
    </cfRule>
    <cfRule type="cellIs" priority="1089" operator="equal" aboveAverage="0" equalAverage="0" bottom="0" percent="0" rank="0" text="" dxfId="1087">
      <formula>$AS$3</formula>
    </cfRule>
    <cfRule type="cellIs" priority="1090" operator="equal" aboveAverage="0" equalAverage="0" bottom="0" percent="0" rank="0" text="" dxfId="1088">
      <formula>$AS$3</formula>
    </cfRule>
  </conditionalFormatting>
  <conditionalFormatting sqref="C36:AO36">
    <cfRule type="cellIs" priority="1091" operator="equal" aboveAverage="0" equalAverage="0" bottom="0" percent="0" rank="0" text="" dxfId="1089">
      <formula>$AS$3</formula>
    </cfRule>
  </conditionalFormatting>
  <conditionalFormatting sqref="L36">
    <cfRule type="cellIs" priority="1092" operator="equal" aboveAverage="0" equalAverage="0" bottom="0" percent="0" rank="0" text="" dxfId="1090">
      <formula>$AS$3</formula>
    </cfRule>
  </conditionalFormatting>
  <conditionalFormatting sqref="C36:K36 M36:AO36">
    <cfRule type="cellIs" priority="1093" operator="equal" aboveAverage="0" equalAverage="0" bottom="0" percent="0" rank="0" text="" dxfId="1091">
      <formula>$AS$3</formula>
    </cfRule>
  </conditionalFormatting>
  <conditionalFormatting sqref="C35 J35:AO35">
    <cfRule type="cellIs" priority="1094" operator="equal" aboveAverage="0" equalAverage="0" bottom="0" percent="0" rank="0" text="" dxfId="1092">
      <formula>$AS$3</formula>
    </cfRule>
  </conditionalFormatting>
  <conditionalFormatting sqref="Z35">
    <cfRule type="cellIs" priority="1095" operator="equal" aboveAverage="0" equalAverage="0" bottom="0" percent="0" rank="0" text="" dxfId="1093">
      <formula>$AS$3</formula>
    </cfRule>
  </conditionalFormatting>
  <conditionalFormatting sqref="C35 AA35:AO35 R35 J35">
    <cfRule type="cellIs" priority="1096" operator="equal" aboveAverage="0" equalAverage="0" bottom="0" percent="0" rank="0" text="" dxfId="1094">
      <formula>$AS$3</formula>
    </cfRule>
  </conditionalFormatting>
  <conditionalFormatting sqref="C27">
    <cfRule type="cellIs" priority="1097" operator="equal" aboveAverage="0" equalAverage="0" bottom="0" percent="0" rank="0" text="" dxfId="1095">
      <formula>$AS$3</formula>
    </cfRule>
  </conditionalFormatting>
  <conditionalFormatting sqref="C27">
    <cfRule type="cellIs" priority="1098" operator="equal" aboveAverage="0" equalAverage="0" bottom="0" percent="0" rank="0" text="" dxfId="1096">
      <formula>$AS$3</formula>
    </cfRule>
  </conditionalFormatting>
  <conditionalFormatting sqref="C28:AO28">
    <cfRule type="cellIs" priority="1099" operator="equal" aboveAverage="0" equalAverage="0" bottom="0" percent="0" rank="0" text="" dxfId="1097">
      <formula>$AS$3</formula>
    </cfRule>
    <cfRule type="cellIs" priority="1100" operator="equal" aboveAverage="0" equalAverage="0" bottom="0" percent="0" rank="0" text="" dxfId="1098">
      <formula>$AS$3</formula>
    </cfRule>
  </conditionalFormatting>
  <conditionalFormatting sqref="S28">
    <cfRule type="cellIs" priority="1101" operator="equal" aboveAverage="0" equalAverage="0" bottom="0" percent="0" rank="0" text="" dxfId="1099">
      <formula>$AS$3</formula>
    </cfRule>
  </conditionalFormatting>
  <conditionalFormatting sqref="G28">
    <cfRule type="cellIs" priority="1102" operator="equal" aboveAverage="0" equalAverage="0" bottom="0" percent="0" rank="0" text="" dxfId="1100">
      <formula>$AS$3</formula>
    </cfRule>
  </conditionalFormatting>
  <conditionalFormatting sqref="E28">
    <cfRule type="cellIs" priority="1103" operator="equal" aboveAverage="0" equalAverage="0" bottom="0" percent="0" rank="0" text="" dxfId="1101">
      <formula>$AS$3</formula>
    </cfRule>
  </conditionalFormatting>
  <conditionalFormatting sqref="C28:D28">
    <cfRule type="cellIs" priority="1104" operator="equal" aboveAverage="0" equalAverage="0" bottom="0" percent="0" rank="0" text="" dxfId="1102">
      <formula>$AS$3</formula>
    </cfRule>
    <cfRule type="cellIs" priority="1105" operator="equal" aboveAverage="0" equalAverage="0" bottom="0" percent="0" rank="0" text="" dxfId="1103">
      <formula>$AS$3</formula>
    </cfRule>
  </conditionalFormatting>
  <conditionalFormatting sqref="T28:AC28 AE28:AO28 H28:R28">
    <cfRule type="cellIs" priority="1106" operator="equal" aboveAverage="0" equalAverage="0" bottom="0" percent="0" rank="0" text="" dxfId="1104">
      <formula>$AS$3</formula>
    </cfRule>
    <cfRule type="cellIs" priority="1107" operator="equal" aboveAverage="0" equalAverage="0" bottom="0" percent="0" rank="0" text="" dxfId="1105">
      <formula>$AS$3</formula>
    </cfRule>
  </conditionalFormatting>
  <conditionalFormatting sqref="C29:J29 R29 Z29:AH29">
    <cfRule type="cellIs" priority="1108" operator="equal" aboveAverage="0" equalAverage="0" bottom="0" percent="0" rank="0" text="" dxfId="1106">
      <formula>$AS$3</formula>
    </cfRule>
    <cfRule type="cellIs" priority="1109" operator="equal" aboveAverage="0" equalAverage="0" bottom="0" percent="0" rank="0" text="" dxfId="1107">
      <formula>$AS$3</formula>
    </cfRule>
  </conditionalFormatting>
  <conditionalFormatting sqref="C29 J29 R29 AH29 Z29">
    <cfRule type="cellIs" priority="1110" operator="equal" aboveAverage="0" equalAverage="0" bottom="0" percent="0" rank="0" text="" dxfId="1108">
      <formula>$AS$3</formula>
    </cfRule>
    <cfRule type="cellIs" priority="1111" operator="equal" aboveAverage="0" equalAverage="0" bottom="0" percent="0" rank="0" text="" dxfId="1109">
      <formula>$AS$3</formula>
    </cfRule>
  </conditionalFormatting>
  <conditionalFormatting sqref="AI26">
    <cfRule type="cellIs" priority="1112" operator="equal" aboveAverage="0" equalAverage="0" bottom="0" percent="0" rank="0" text="" dxfId="1110">
      <formula>$AS$3</formula>
    </cfRule>
  </conditionalFormatting>
  <conditionalFormatting sqref="C30:AO30 C37 C39:L39 J37:AO37 N39:AO39">
    <cfRule type="cellIs" priority="1113" operator="equal" aboveAverage="0" equalAverage="0" bottom="0" percent="0" rank="0" text="" dxfId="1111">
      <formula>$AS$3</formula>
    </cfRule>
  </conditionalFormatting>
  <conditionalFormatting sqref="AA37">
    <cfRule type="cellIs" priority="1114" operator="equal" aboveAverage="0" equalAverage="0" bottom="0" percent="0" rank="0" text="" dxfId="1112">
      <formula>$AS$3</formula>
    </cfRule>
  </conditionalFormatting>
  <conditionalFormatting sqref="P30">
    <cfRule type="cellIs" priority="1115" operator="equal" aboveAverage="0" equalAverage="0" bottom="0" percent="0" rank="0" text="" dxfId="1113">
      <formula>$AS$3</formula>
    </cfRule>
  </conditionalFormatting>
  <conditionalFormatting sqref="O30">
    <cfRule type="cellIs" priority="1116" operator="equal" aboveAverage="0" equalAverage="0" bottom="0" percent="0" rank="0" text="" dxfId="1114">
      <formula>$AS$3</formula>
    </cfRule>
  </conditionalFormatting>
  <conditionalFormatting sqref="C30:N30 Q30:V30">
    <cfRule type="cellIs" priority="1117" operator="equal" aboveAverage="0" equalAverage="0" bottom="0" percent="0" rank="0" text="" dxfId="1115">
      <formula>$AS$3</formula>
    </cfRule>
    <cfRule type="cellIs" priority="1118" operator="equal" aboveAverage="0" equalAverage="0" bottom="0" percent="0" rank="0" text="" dxfId="1116">
      <formula>$AS$3</formula>
    </cfRule>
  </conditionalFormatting>
  <conditionalFormatting sqref="Z30:AO30 W30:X30 C39:L39 AB37:AO37 C37 J37:Z37 N39:AO39">
    <cfRule type="cellIs" priority="1119" operator="equal" aboveAverage="0" equalAverage="0" bottom="0" percent="0" rank="0" text="" dxfId="1117">
      <formula>$AS$3</formula>
    </cfRule>
  </conditionalFormatting>
  <conditionalFormatting sqref="V19">
    <cfRule type="cellIs" priority="1120" operator="equal" aboveAverage="0" equalAverage="0" bottom="0" percent="0" rank="0" text="" dxfId="1118">
      <formula>$AS$3</formula>
    </cfRule>
  </conditionalFormatting>
  <conditionalFormatting sqref="V19">
    <cfRule type="cellIs" priority="1121" operator="equal" aboveAverage="0" equalAverage="0" bottom="0" percent="0" rank="0" text="" dxfId="1119">
      <formula>$AS$3</formula>
    </cfRule>
  </conditionalFormatting>
  <conditionalFormatting sqref="W19">
    <cfRule type="cellIs" priority="1122" operator="equal" aboveAverage="0" equalAverage="0" bottom="0" percent="0" rank="0" text="" dxfId="1120">
      <formula>$AS$3</formula>
    </cfRule>
  </conditionalFormatting>
  <conditionalFormatting sqref="W19">
    <cfRule type="cellIs" priority="1123" operator="equal" aboveAverage="0" equalAverage="0" bottom="0" percent="0" rank="0" text="" dxfId="1121">
      <formula>$AS$3</formula>
    </cfRule>
  </conditionalFormatting>
  <conditionalFormatting sqref="U19">
    <cfRule type="cellIs" priority="1124" operator="equal" aboveAverage="0" equalAverage="0" bottom="0" percent="0" rank="0" text="" dxfId="1122">
      <formula>$AS$3</formula>
    </cfRule>
  </conditionalFormatting>
  <conditionalFormatting sqref="U19">
    <cfRule type="cellIs" priority="1125" operator="equal" aboveAverage="0" equalAverage="0" bottom="0" percent="0" rank="0" text="" dxfId="1123">
      <formula>$AS$3</formula>
    </cfRule>
  </conditionalFormatting>
  <conditionalFormatting sqref="T19">
    <cfRule type="cellIs" priority="1126" operator="equal" aboveAverage="0" equalAverage="0" bottom="0" percent="0" rank="0" text="" dxfId="1124">
      <formula>$AS$3</formula>
    </cfRule>
  </conditionalFormatting>
  <conditionalFormatting sqref="T19">
    <cfRule type="cellIs" priority="1127" operator="equal" aboveAverage="0" equalAverage="0" bottom="0" percent="0" rank="0" text="" dxfId="1125">
      <formula>$AS$3</formula>
    </cfRule>
  </conditionalFormatting>
  <conditionalFormatting sqref="AI19">
    <cfRule type="cellIs" priority="1128" operator="equal" aboveAverage="0" equalAverage="0" bottom="0" percent="0" rank="0" text="" dxfId="1126">
      <formula>$AS$3</formula>
    </cfRule>
  </conditionalFormatting>
  <conditionalFormatting sqref="AI19">
    <cfRule type="cellIs" priority="1129" operator="equal" aboveAverage="0" equalAverage="0" bottom="0" percent="0" rank="0" text="" dxfId="1127">
      <formula>$AS$3</formula>
    </cfRule>
  </conditionalFormatting>
  <conditionalFormatting sqref="AM19">
    <cfRule type="cellIs" priority="1130" operator="equal" aboveAverage="0" equalAverage="0" bottom="0" percent="0" rank="0" text="" dxfId="1128">
      <formula>$AS$3</formula>
    </cfRule>
  </conditionalFormatting>
  <conditionalFormatting sqref="AM19">
    <cfRule type="cellIs" priority="1131" operator="equal" aboveAverage="0" equalAverage="0" bottom="0" percent="0" rank="0" text="" dxfId="1129">
      <formula>$AS$3</formula>
    </cfRule>
  </conditionalFormatting>
  <conditionalFormatting sqref="S19">
    <cfRule type="cellIs" priority="1132" operator="equal" aboveAverage="0" equalAverage="0" bottom="0" percent="0" rank="0" text="" dxfId="1130">
      <formula>$AS$3</formula>
    </cfRule>
  </conditionalFormatting>
  <conditionalFormatting sqref="S19">
    <cfRule type="cellIs" priority="1133" operator="equal" aboveAverage="0" equalAverage="0" bottom="0" percent="0" rank="0" text="" dxfId="1131">
      <formula>$AS$3</formula>
    </cfRule>
  </conditionalFormatting>
  <conditionalFormatting sqref="K19">
    <cfRule type="cellIs" priority="1134" operator="equal" aboveAverage="0" equalAverage="0" bottom="0" percent="0" rank="0" text="" dxfId="1132">
      <formula>$AS$3</formula>
    </cfRule>
  </conditionalFormatting>
  <conditionalFormatting sqref="K19">
    <cfRule type="cellIs" priority="1135" operator="equal" aboveAverage="0" equalAverage="0" bottom="0" percent="0" rank="0" text="" dxfId="1133">
      <formula>$AS$3</formula>
    </cfRule>
  </conditionalFormatting>
  <conditionalFormatting sqref="C27">
    <cfRule type="cellIs" priority="1136" operator="equal" aboveAverage="0" equalAverage="0" bottom="0" percent="0" rank="0" text="" dxfId="1134">
      <formula>$AS$3</formula>
    </cfRule>
  </conditionalFormatting>
  <conditionalFormatting sqref="C27">
    <cfRule type="cellIs" priority="1137" operator="equal" aboveAverage="0" equalAverage="0" bottom="0" percent="0" rank="0" text="" dxfId="1135">
      <formula>$AS$3</formula>
    </cfRule>
  </conditionalFormatting>
  <conditionalFormatting sqref="S28">
    <cfRule type="cellIs" priority="1138" operator="equal" aboveAverage="0" equalAverage="0" bottom="0" percent="0" rank="0" text="" dxfId="1136">
      <formula>$AS$3</formula>
    </cfRule>
  </conditionalFormatting>
  <conditionalFormatting sqref="G28">
    <cfRule type="cellIs" priority="1139" operator="equal" aboveAverage="0" equalAverage="0" bottom="0" percent="0" rank="0" text="" dxfId="1137">
      <formula>$AS$3</formula>
    </cfRule>
  </conditionalFormatting>
  <conditionalFormatting sqref="E28">
    <cfRule type="cellIs" priority="1140" operator="equal" aboveAverage="0" equalAverage="0" bottom="0" percent="0" rank="0" text="" dxfId="1138">
      <formula>$AS$3</formula>
    </cfRule>
  </conditionalFormatting>
  <conditionalFormatting sqref="AI26">
    <cfRule type="cellIs" priority="1141" operator="equal" aboveAverage="0" equalAverage="0" bottom="0" percent="0" rank="0" text="" dxfId="1139">
      <formula>$AS$3</formula>
    </cfRule>
  </conditionalFormatting>
  <conditionalFormatting sqref="C30:AO30">
    <cfRule type="cellIs" priority="1142" operator="equal" aboveAverage="0" equalAverage="0" bottom="0" percent="0" rank="0" text="" dxfId="1140">
      <formula>$AS$3</formula>
    </cfRule>
    <cfRule type="cellIs" priority="1143" operator="equal" aboveAverage="0" equalAverage="0" bottom="0" percent="0" rank="0" text="" dxfId="1141">
      <formula>$AS$3</formula>
    </cfRule>
  </conditionalFormatting>
  <conditionalFormatting sqref="P30">
    <cfRule type="cellIs" priority="1144" operator="equal" aboveAverage="0" equalAverage="0" bottom="0" percent="0" rank="0" text="" dxfId="1142">
      <formula>$AS$3</formula>
    </cfRule>
  </conditionalFormatting>
  <conditionalFormatting sqref="O30">
    <cfRule type="cellIs" priority="1145" operator="equal" aboveAverage="0" equalAverage="0" bottom="0" percent="0" rank="0" text="" dxfId="1143">
      <formula>$AS$3</formula>
    </cfRule>
  </conditionalFormatting>
  <conditionalFormatting sqref="Z30:AO30 W30:X30">
    <cfRule type="cellIs" priority="1146" operator="equal" aboveAverage="0" equalAverage="0" bottom="0" percent="0" rank="0" text="" dxfId="1144">
      <formula>$AS$3</formula>
    </cfRule>
  </conditionalFormatting>
  <conditionalFormatting sqref="W17">
    <cfRule type="cellIs" priority="1147" operator="equal" aboveAverage="0" equalAverage="0" bottom="0" percent="0" rank="0" text="" dxfId="1145">
      <formula>$AS$3</formula>
    </cfRule>
  </conditionalFormatting>
  <conditionalFormatting sqref="E12">
    <cfRule type="cellIs" priority="1148" operator="equal" aboveAverage="0" equalAverage="0" bottom="0" percent="0" rank="0" text="" dxfId="1146">
      <formula>$AS$3</formula>
    </cfRule>
  </conditionalFormatting>
  <conditionalFormatting sqref="E12">
    <cfRule type="cellIs" priority="1149" operator="equal" aboveAverage="0" equalAverage="0" bottom="0" percent="0" rank="0" text="" dxfId="1147">
      <formula>$AS$3</formula>
    </cfRule>
  </conditionalFormatting>
  <conditionalFormatting sqref="V42">
    <cfRule type="cellIs" priority="1150" operator="equal" aboveAverage="0" equalAverage="0" bottom="0" percent="0" rank="0" text="" dxfId="1148">
      <formula>$AS$3</formula>
    </cfRule>
  </conditionalFormatting>
  <conditionalFormatting sqref="V42">
    <cfRule type="cellIs" priority="1151" operator="equal" aboveAverage="0" equalAverage="0" bottom="0" percent="0" rank="0" text="" dxfId="1149">
      <formula>$AS$3</formula>
    </cfRule>
  </conditionalFormatting>
  <conditionalFormatting sqref="W42">
    <cfRule type="cellIs" priority="1152" operator="equal" aboveAverage="0" equalAverage="0" bottom="0" percent="0" rank="0" text="" dxfId="1150">
      <formula>$AS$3</formula>
    </cfRule>
  </conditionalFormatting>
  <conditionalFormatting sqref="W42">
    <cfRule type="cellIs" priority="1153" operator="equal" aboveAverage="0" equalAverage="0" bottom="0" percent="0" rank="0" text="" dxfId="1151">
      <formula>$AS$3</formula>
    </cfRule>
  </conditionalFormatting>
  <conditionalFormatting sqref="U42">
    <cfRule type="cellIs" priority="1154" operator="equal" aboveAverage="0" equalAverage="0" bottom="0" percent="0" rank="0" text="" dxfId="1152">
      <formula>$AS$3</formula>
    </cfRule>
  </conditionalFormatting>
  <conditionalFormatting sqref="U42">
    <cfRule type="cellIs" priority="1155" operator="equal" aboveAverage="0" equalAverage="0" bottom="0" percent="0" rank="0" text="" dxfId="1153">
      <formula>$AS$3</formula>
    </cfRule>
  </conditionalFormatting>
  <conditionalFormatting sqref="T42">
    <cfRule type="cellIs" priority="1156" operator="equal" aboveAverage="0" equalAverage="0" bottom="0" percent="0" rank="0" text="" dxfId="1154">
      <formula>$AS$3</formula>
    </cfRule>
  </conditionalFormatting>
  <conditionalFormatting sqref="T42">
    <cfRule type="cellIs" priority="1157" operator="equal" aboveAverage="0" equalAverage="0" bottom="0" percent="0" rank="0" text="" dxfId="1155">
      <formula>$AS$3</formula>
    </cfRule>
  </conditionalFormatting>
  <conditionalFormatting sqref="F12">
    <cfRule type="cellIs" priority="1158" operator="equal" aboveAverage="0" equalAverage="0" bottom="0" percent="0" rank="0" text="" dxfId="1156">
      <formula>$AS$3</formula>
    </cfRule>
  </conditionalFormatting>
  <conditionalFormatting sqref="F12">
    <cfRule type="cellIs" priority="1159" operator="equal" aboveAverage="0" equalAverage="0" bottom="0" percent="0" rank="0" text="" dxfId="1157">
      <formula>$AS$3</formula>
    </cfRule>
  </conditionalFormatting>
  <conditionalFormatting sqref="F6">
    <cfRule type="cellIs" priority="1160" operator="equal" aboveAverage="0" equalAverage="0" bottom="0" percent="0" rank="0" text="" dxfId="1158">
      <formula>$AS$3</formula>
    </cfRule>
  </conditionalFormatting>
  <conditionalFormatting sqref="F6">
    <cfRule type="cellIs" priority="1161" operator="equal" aboveAverage="0" equalAverage="0" bottom="0" percent="0" rank="0" text="" dxfId="1159">
      <formula>$AS$3</formula>
    </cfRule>
  </conditionalFormatting>
  <conditionalFormatting sqref="AN37">
    <cfRule type="cellIs" priority="1162" operator="equal" aboveAverage="0" equalAverage="0" bottom="0" percent="0" rank="0" text="" dxfId="1160">
      <formula>$AS$3</formula>
    </cfRule>
  </conditionalFormatting>
  <conditionalFormatting sqref="AN37">
    <cfRule type="cellIs" priority="1163" operator="equal" aboveAverage="0" equalAverage="0" bottom="0" percent="0" rank="0" text="" dxfId="1161">
      <formula>$AS$3</formula>
    </cfRule>
  </conditionalFormatting>
  <conditionalFormatting sqref="W37">
    <cfRule type="cellIs" priority="1164" operator="equal" aboveAverage="0" equalAverage="0" bottom="0" percent="0" rank="0" text="" dxfId="1162">
      <formula>$AS$3</formula>
    </cfRule>
  </conditionalFormatting>
  <conditionalFormatting sqref="W37">
    <cfRule type="cellIs" priority="1165" operator="equal" aboveAverage="0" equalAverage="0" bottom="0" percent="0" rank="0" text="" dxfId="1163">
      <formula>$AS$3</formula>
    </cfRule>
  </conditionalFormatting>
  <conditionalFormatting sqref="J37">
    <cfRule type="cellIs" priority="1166" operator="equal" aboveAverage="0" equalAverage="0" bottom="0" percent="0" rank="0" text="" dxfId="1164">
      <formula>$AS$3</formula>
    </cfRule>
  </conditionalFormatting>
  <conditionalFormatting sqref="J37">
    <cfRule type="cellIs" priority="1167" operator="equal" aboveAverage="0" equalAverage="0" bottom="0" percent="0" rank="0" text="" dxfId="1165">
      <formula>$AS$3</formula>
    </cfRule>
  </conditionalFormatting>
  <conditionalFormatting sqref="S6">
    <cfRule type="cellIs" priority="1168" operator="equal" aboveAverage="0" equalAverage="0" bottom="0" percent="0" rank="0" text="" dxfId="1166">
      <formula>$AS$3</formula>
    </cfRule>
  </conditionalFormatting>
  <conditionalFormatting sqref="S6">
    <cfRule type="cellIs" priority="1169" operator="equal" aboveAverage="0" equalAverage="0" bottom="0" percent="0" rank="0" text="" dxfId="1167">
      <formula>$AS$3</formula>
    </cfRule>
  </conditionalFormatting>
  <conditionalFormatting sqref="C7">
    <cfRule type="cellIs" priority="1170" operator="equal" aboveAverage="0" equalAverage="0" bottom="0" percent="0" rank="0" text="" dxfId="1168">
      <formula>$AS$3</formula>
    </cfRule>
  </conditionalFormatting>
  <conditionalFormatting sqref="C7">
    <cfRule type="cellIs" priority="1171" operator="equal" aboveAverage="0" equalAverage="0" bottom="0" percent="0" rank="0" text="" dxfId="1169">
      <formula>$AS$3</formula>
    </cfRule>
  </conditionalFormatting>
  <conditionalFormatting sqref="G6">
    <cfRule type="cellIs" priority="1172" operator="equal" aboveAverage="0" equalAverage="0" bottom="0" percent="0" rank="0" text="" dxfId="1170">
      <formula>$AS$3</formula>
    </cfRule>
  </conditionalFormatting>
  <conditionalFormatting sqref="G6">
    <cfRule type="cellIs" priority="1173" operator="equal" aboveAverage="0" equalAverage="0" bottom="0" percent="0" rank="0" text="" dxfId="1171">
      <formula>$AS$3</formula>
    </cfRule>
  </conditionalFormatting>
  <conditionalFormatting sqref="U6">
    <cfRule type="cellIs" priority="1174" operator="equal" aboveAverage="0" equalAverage="0" bottom="0" percent="0" rank="0" text="" dxfId="1172">
      <formula>$AS$3</formula>
    </cfRule>
  </conditionalFormatting>
  <conditionalFormatting sqref="U6">
    <cfRule type="cellIs" priority="1175" operator="equal" aboveAverage="0" equalAverage="0" bottom="0" percent="0" rank="0" text="" dxfId="1173">
      <formula>$AS$3</formula>
    </cfRule>
  </conditionalFormatting>
  <conditionalFormatting sqref="AI42">
    <cfRule type="cellIs" priority="1176" operator="equal" aboveAverage="0" equalAverage="0" bottom="0" percent="0" rank="0" text="" dxfId="1174">
      <formula>$AS$3</formula>
    </cfRule>
  </conditionalFormatting>
  <conditionalFormatting sqref="AI42">
    <cfRule type="cellIs" priority="1177" operator="equal" aboveAverage="0" equalAverage="0" bottom="0" percent="0" rank="0" text="" dxfId="1175">
      <formula>$AS$3</formula>
    </cfRule>
  </conditionalFormatting>
  <conditionalFormatting sqref="D6">
    <cfRule type="cellIs" priority="1178" operator="equal" aboveAverage="0" equalAverage="0" bottom="0" percent="0" rank="0" text="" dxfId="1176">
      <formula>$AS$3</formula>
    </cfRule>
  </conditionalFormatting>
  <conditionalFormatting sqref="D6">
    <cfRule type="cellIs" priority="1179" operator="equal" aboveAverage="0" equalAverage="0" bottom="0" percent="0" rank="0" text="" dxfId="1177">
      <formula>$AS$3</formula>
    </cfRule>
  </conditionalFormatting>
  <conditionalFormatting sqref="T12">
    <cfRule type="cellIs" priority="1180" operator="equal" aboveAverage="0" equalAverage="0" bottom="0" percent="0" rank="0" text="" dxfId="1178">
      <formula>$AS$3</formula>
    </cfRule>
  </conditionalFormatting>
  <conditionalFormatting sqref="T12">
    <cfRule type="cellIs" priority="1181" operator="equal" aboveAverage="0" equalAverage="0" bottom="0" percent="0" rank="0" text="" dxfId="1179">
      <formula>$AS$3</formula>
    </cfRule>
  </conditionalFormatting>
  <conditionalFormatting sqref="U14">
    <cfRule type="cellIs" priority="1182" operator="equal" aboveAverage="0" equalAverage="0" bottom="0" percent="0" rank="0" text="" dxfId="1180">
      <formula>$AS$3</formula>
    </cfRule>
  </conditionalFormatting>
  <conditionalFormatting sqref="U14">
    <cfRule type="cellIs" priority="1183" operator="equal" aboveAverage="0" equalAverage="0" bottom="0" percent="0" rank="0" text="" dxfId="1181">
      <formula>$AS$3</formula>
    </cfRule>
  </conditionalFormatting>
  <conditionalFormatting sqref="U11">
    <cfRule type="cellIs" priority="1184" operator="equal" aboveAverage="0" equalAverage="0" bottom="0" percent="0" rank="0" text="" dxfId="1182">
      <formula>$AS$3</formula>
    </cfRule>
  </conditionalFormatting>
  <conditionalFormatting sqref="U11">
    <cfRule type="cellIs" priority="1185" operator="equal" aboveAverage="0" equalAverage="0" bottom="0" percent="0" rank="0" text="" dxfId="1183">
      <formula>$AS$3</formula>
    </cfRule>
  </conditionalFormatting>
  <conditionalFormatting sqref="AM42">
    <cfRule type="cellIs" priority="1186" operator="equal" aboveAverage="0" equalAverage="0" bottom="0" percent="0" rank="0" text="" dxfId="1184">
      <formula>$AS$3</formula>
    </cfRule>
  </conditionalFormatting>
  <conditionalFormatting sqref="AM42">
    <cfRule type="cellIs" priority="1187" operator="equal" aboveAverage="0" equalAverage="0" bottom="0" percent="0" rank="0" text="" dxfId="1185">
      <formula>$AS$3</formula>
    </cfRule>
  </conditionalFormatting>
  <conditionalFormatting sqref="S42">
    <cfRule type="cellIs" priority="1188" operator="equal" aboveAverage="0" equalAverage="0" bottom="0" percent="0" rank="0" text="" dxfId="1186">
      <formula>$AS$3</formula>
    </cfRule>
  </conditionalFormatting>
  <conditionalFormatting sqref="S42">
    <cfRule type="cellIs" priority="1189" operator="equal" aboveAverage="0" equalAverage="0" bottom="0" percent="0" rank="0" text="" dxfId="1187">
      <formula>$AS$3</formula>
    </cfRule>
  </conditionalFormatting>
  <conditionalFormatting sqref="K42">
    <cfRule type="cellIs" priority="1190" operator="equal" aboveAverage="0" equalAverage="0" bottom="0" percent="0" rank="0" text="" dxfId="1188">
      <formula>$AS$3</formula>
    </cfRule>
  </conditionalFormatting>
  <conditionalFormatting sqref="K42">
    <cfRule type="cellIs" priority="1191" operator="equal" aboveAverage="0" equalAverage="0" bottom="0" percent="0" rank="0" text="" dxfId="1189">
      <formula>$AS$3</formula>
    </cfRule>
  </conditionalFormatting>
  <conditionalFormatting sqref="U12">
    <cfRule type="cellIs" priority="1192" operator="equal" aboveAverage="0" equalAverage="0" bottom="0" percent="0" rank="0" text="" dxfId="1190">
      <formula>$AS$3</formula>
    </cfRule>
  </conditionalFormatting>
  <conditionalFormatting sqref="U12">
    <cfRule type="cellIs" priority="1193" operator="equal" aboveAverage="0" equalAverage="0" bottom="0" percent="0" rank="0" text="" dxfId="1191">
      <formula>$AS$3</formula>
    </cfRule>
  </conditionalFormatting>
  <conditionalFormatting sqref="AE14">
    <cfRule type="cellIs" priority="1194" operator="equal" aboveAverage="0" equalAverage="0" bottom="0" percent="0" rank="0" text="" dxfId="1192">
      <formula>$AS$3</formula>
    </cfRule>
  </conditionalFormatting>
  <conditionalFormatting sqref="AE14">
    <cfRule type="cellIs" priority="1195" operator="equal" aboveAverage="0" equalAverage="0" bottom="0" percent="0" rank="0" text="" dxfId="1193">
      <formula>$AS$3</formula>
    </cfRule>
  </conditionalFormatting>
  <conditionalFormatting sqref="AD14">
    <cfRule type="cellIs" priority="1196" operator="equal" aboveAverage="0" equalAverage="0" bottom="0" percent="0" rank="0" text="" dxfId="1194">
      <formula>$AS$3</formula>
    </cfRule>
  </conditionalFormatting>
  <conditionalFormatting sqref="AD14">
    <cfRule type="cellIs" priority="1197" operator="equal" aboveAverage="0" equalAverage="0" bottom="0" percent="0" rank="0" text="" dxfId="1195">
      <formula>$AS$3</formula>
    </cfRule>
  </conditionalFormatting>
  <conditionalFormatting sqref="AI44">
    <cfRule type="cellIs" priority="1198" operator="equal" aboveAverage="0" equalAverage="0" bottom="0" percent="0" rank="0" text="" dxfId="1196">
      <formula>$AS$3</formula>
    </cfRule>
  </conditionalFormatting>
  <conditionalFormatting sqref="AA44">
    <cfRule type="cellIs" priority="1199" operator="equal" aboveAverage="0" equalAverage="0" bottom="0" percent="0" rank="0" text="" dxfId="1197">
      <formula>$AS$3</formula>
    </cfRule>
  </conditionalFormatting>
  <conditionalFormatting sqref="S44">
    <cfRule type="cellIs" priority="1200" operator="equal" aboveAverage="0" equalAverage="0" bottom="0" percent="0" rank="0" text="" dxfId="1198">
      <formula>$AS$3</formula>
    </cfRule>
  </conditionalFormatting>
  <conditionalFormatting sqref="C44:J44 R44">
    <cfRule type="cellIs" priority="1201" operator="equal" aboveAverage="0" equalAverage="0" bottom="0" percent="0" rank="0" text="" dxfId="1199">
      <formula>$AS$3</formula>
    </cfRule>
  </conditionalFormatting>
  <conditionalFormatting sqref="W30">
    <cfRule type="cellIs" priority="1202" operator="equal" aboveAverage="0" equalAverage="0" bottom="0" percent="0" rank="0" text="" dxfId="1200">
      <formula>$AS$3</formula>
    </cfRule>
  </conditionalFormatting>
  <conditionalFormatting sqref="AO30 AG30:AM30 X30:AE30 C30:V30">
    <cfRule type="cellIs" priority="1203" operator="equal" aboveAverage="0" equalAverage="0" bottom="0" percent="0" rank="0" text="" dxfId="1201">
      <formula>$AS$3</formula>
    </cfRule>
  </conditionalFormatting>
  <conditionalFormatting sqref="U31">
    <cfRule type="cellIs" priority="1204" operator="equal" aboveAverage="0" equalAverage="0" bottom="0" percent="0" rank="0" text="" dxfId="1202">
      <formula>$AS$3</formula>
    </cfRule>
  </conditionalFormatting>
  <conditionalFormatting sqref="W31">
    <cfRule type="cellIs" priority="1205" operator="equal" aboveAverage="0" equalAverage="0" bottom="0" percent="0" rank="0" text="" dxfId="1203">
      <formula>$AS$3</formula>
    </cfRule>
  </conditionalFormatting>
  <conditionalFormatting sqref="C31:T31 X31:AO31 V31">
    <cfRule type="cellIs" priority="1206" operator="equal" aboveAverage="0" equalAverage="0" bottom="0" percent="0" rank="0" text="" dxfId="1204">
      <formula>$AS$3</formula>
    </cfRule>
  </conditionalFormatting>
  <conditionalFormatting sqref="C42:AO44 C41:J41 Z41 AH41 L41:R41">
    <cfRule type="cellIs" priority="1207" operator="equal" aboveAverage="0" equalAverage="0" bottom="0" percent="0" rank="0" text="" dxfId="1205">
      <formula>$AS$3</formula>
    </cfRule>
  </conditionalFormatting>
  <conditionalFormatting sqref="Z42:AH44 C41:J44 R41:R44 Z41 AH41">
    <cfRule type="cellIs" priority="1208" operator="equal" aboveAverage="0" equalAverage="0" bottom="0" percent="0" rank="0" text="" dxfId="1206">
      <formula>$AS$3</formula>
    </cfRule>
  </conditionalFormatting>
  <conditionalFormatting sqref="J41 R41:Z41 AH41:AO41">
    <cfRule type="cellIs" priority="1209" operator="equal" aboveAverage="0" equalAverage="0" bottom="0" percent="0" rank="0" text="" dxfId="1207">
      <formula>$AS$3</formula>
    </cfRule>
  </conditionalFormatting>
  <conditionalFormatting sqref="J41 Z41 R41 AH41">
    <cfRule type="cellIs" priority="1210" operator="equal" aboveAverage="0" equalAverage="0" bottom="0" percent="0" rank="0" text="" dxfId="1208">
      <formula>$AS$3</formula>
    </cfRule>
  </conditionalFormatting>
  <conditionalFormatting sqref="C39:L39 N39:AO39">
    <cfRule type="cellIs" priority="1211" operator="equal" aboveAverage="0" equalAverage="0" bottom="0" percent="0" rank="0" text="" dxfId="1209">
      <formula>$AS$3</formula>
    </cfRule>
    <cfRule type="cellIs" priority="1212" operator="equal" aboveAverage="0" equalAverage="0" bottom="0" percent="0" rank="0" text="" dxfId="1210">
      <formula>$AS$3</formula>
    </cfRule>
  </conditionalFormatting>
  <conditionalFormatting sqref="C37:I37 K37:V37 X37:AM37 AO37">
    <cfRule type="cellIs" priority="1213" operator="equal" aboveAverage="0" equalAverage="0" bottom="0" percent="0" rank="0" text="" dxfId="1211">
      <formula>$AS$3</formula>
    </cfRule>
  </conditionalFormatting>
  <conditionalFormatting sqref="AC37">
    <cfRule type="cellIs" priority="1214" operator="equal" aboveAverage="0" equalAverage="0" bottom="0" percent="0" rank="0" text="" dxfId="1212">
      <formula>$AS$3</formula>
    </cfRule>
  </conditionalFormatting>
  <conditionalFormatting sqref="AF37">
    <cfRule type="cellIs" priority="1215" operator="equal" aboveAverage="0" equalAverage="0" bottom="0" percent="0" rank="0" text="" dxfId="1213">
      <formula>$AS$3</formula>
    </cfRule>
  </conditionalFormatting>
  <conditionalFormatting sqref="AA37">
    <cfRule type="cellIs" priority="1216" operator="equal" aboveAverage="0" equalAverage="0" bottom="0" percent="0" rank="0" text="" dxfId="1214">
      <formula>$AS$3</formula>
    </cfRule>
  </conditionalFormatting>
  <conditionalFormatting sqref="AD37:AE37 AB37 AG37:AH37 C37 K37:R37 Z37">
    <cfRule type="cellIs" priority="1217" operator="equal" aboveAverage="0" equalAverage="0" bottom="0" percent="0" rank="0" text="" dxfId="1215">
      <formula>$AS$3</formula>
    </cfRule>
  </conditionalFormatting>
  <conditionalFormatting sqref="C35:AO35">
    <cfRule type="cellIs" priority="1218" operator="equal" aboveAverage="0" equalAverage="0" bottom="0" percent="0" rank="0" text="" dxfId="1216">
      <formula>$AS$3</formula>
    </cfRule>
  </conditionalFormatting>
  <conditionalFormatting sqref="L35">
    <cfRule type="cellIs" priority="1219" operator="equal" aboveAverage="0" equalAverage="0" bottom="0" percent="0" rank="0" text="" dxfId="1217">
      <formula>$AS$3</formula>
    </cfRule>
  </conditionalFormatting>
  <conditionalFormatting sqref="C35:K35 M35:AO35">
    <cfRule type="cellIs" priority="1220" operator="equal" aboveAverage="0" equalAverage="0" bottom="0" percent="0" rank="0" text="" dxfId="1218">
      <formula>$AS$3</formula>
    </cfRule>
  </conditionalFormatting>
  <conditionalFormatting sqref="C34">
    <cfRule type="cellIs" priority="1221" operator="equal" aboveAverage="0" equalAverage="0" bottom="0" percent="0" rank="0" text="" dxfId="1219">
      <formula>$AS$3</formula>
    </cfRule>
  </conditionalFormatting>
  <conditionalFormatting sqref="Z34">
    <cfRule type="cellIs" priority="1222" operator="equal" aboveAverage="0" equalAverage="0" bottom="0" percent="0" rank="0" text="" dxfId="1220">
      <formula>$AS$3</formula>
    </cfRule>
  </conditionalFormatting>
  <conditionalFormatting sqref="C34 AA34:AO34 R34 J34">
    <cfRule type="cellIs" priority="1223" operator="equal" aboveAverage="0" equalAverage="0" bottom="0" percent="0" rank="0" text="" dxfId="1221">
      <formula>$AS$3</formula>
    </cfRule>
  </conditionalFormatting>
  <conditionalFormatting sqref="P26">
    <cfRule type="cellIs" priority="1224" operator="equal" aboveAverage="0" equalAverage="0" bottom="0" percent="0" rank="0" text="" dxfId="1222">
      <formula>$AS$3</formula>
    </cfRule>
  </conditionalFormatting>
  <conditionalFormatting sqref="O26">
    <cfRule type="cellIs" priority="1225" operator="equal" aboveAverage="0" equalAverage="0" bottom="0" percent="0" rank="0" text="" dxfId="1223">
      <formula>$AS$3</formula>
    </cfRule>
  </conditionalFormatting>
  <conditionalFormatting sqref="C28:J28 R28 Z28:AH28">
    <cfRule type="cellIs" priority="1226" operator="equal" aboveAverage="0" equalAverage="0" bottom="0" percent="0" rank="0" text="" dxfId="1224">
      <formula>$AS$3</formula>
    </cfRule>
  </conditionalFormatting>
  <conditionalFormatting sqref="C28 J28 R28 AH28 Z28">
    <cfRule type="cellIs" priority="1227" operator="equal" aboveAverage="0" equalAverage="0" bottom="0" percent="0" rank="0" text="" dxfId="1225">
      <formula>$AS$3</formula>
    </cfRule>
  </conditionalFormatting>
  <conditionalFormatting sqref="C15:AO15">
    <cfRule type="cellIs" priority="1228" operator="equal" aboveAverage="0" equalAverage="0" bottom="0" percent="0" rank="0" text="" dxfId="1226">
      <formula>$AS$3</formula>
    </cfRule>
    <cfRule type="cellIs" priority="1229" operator="equal" aboveAverage="0" equalAverage="0" bottom="0" percent="0" rank="0" text="" dxfId="1227">
      <formula>$AS$3</formula>
    </cfRule>
  </conditionalFormatting>
  <conditionalFormatting sqref="AF18">
    <cfRule type="cellIs" priority="1230" operator="equal" aboveAverage="0" equalAverage="0" bottom="0" percent="0" rank="0" text="" dxfId="1228">
      <formula>$AS$3</formula>
    </cfRule>
  </conditionalFormatting>
  <conditionalFormatting sqref="X18">
    <cfRule type="cellIs" priority="1231" operator="equal" aboveAverage="0" equalAverage="0" bottom="0" percent="0" rank="0" text="" dxfId="1229">
      <formula>$AS$3</formula>
    </cfRule>
  </conditionalFormatting>
  <conditionalFormatting sqref="AF14:AO14 V14:AC14 C14:T14">
    <cfRule type="cellIs" priority="1232" operator="equal" aboveAverage="0" equalAverage="0" bottom="0" percent="0" rank="0" text="" dxfId="1230">
      <formula>$AS$3</formula>
    </cfRule>
  </conditionalFormatting>
  <conditionalFormatting sqref="AM14">
    <cfRule type="cellIs" priority="1233" operator="equal" aboveAverage="0" equalAverage="0" bottom="0" percent="0" rank="0" text="" dxfId="1231">
      <formula>$AS$3</formula>
    </cfRule>
  </conditionalFormatting>
  <conditionalFormatting sqref="AN14:AO14 AF14:AL14 V14:AC14 C14:T14">
    <cfRule type="cellIs" priority="1234" operator="equal" aboveAverage="0" equalAverage="0" bottom="0" percent="0" rank="0" text="" dxfId="1232">
      <formula>$AS$3</formula>
    </cfRule>
  </conditionalFormatting>
  <conditionalFormatting sqref="AI25">
    <cfRule type="cellIs" priority="1235" operator="equal" aboveAverage="0" equalAverage="0" bottom="0" percent="0" rank="0" text="" dxfId="1233">
      <formula>$AS$3</formula>
    </cfRule>
  </conditionalFormatting>
  <conditionalFormatting sqref="C4:AO4">
    <cfRule type="cellIs" priority="1236" operator="equal" aboveAverage="0" equalAverage="0" bottom="0" percent="0" rank="0" text="" dxfId="1234">
      <formula>$AS$3</formula>
    </cfRule>
    <cfRule type="cellIs" priority="1237" operator="equal" aboveAverage="0" equalAverage="0" bottom="0" percent="0" rank="0" text="" dxfId="1235">
      <formula>$AS$3</formula>
    </cfRule>
  </conditionalFormatting>
  <conditionalFormatting sqref="C10:C12 J10:R12 Z10:AO12">
    <cfRule type="cellIs" priority="1238" operator="equal" aboveAverage="0" equalAverage="0" bottom="0" percent="0" rank="0" text="" dxfId="1236">
      <formula>$AS$3</formula>
    </cfRule>
  </conditionalFormatting>
  <conditionalFormatting sqref="AA10:AA12">
    <cfRule type="cellIs" priority="1239" operator="equal" aboveAverage="0" equalAverage="0" bottom="0" percent="0" rank="0" text="" dxfId="1237">
      <formula>$AS$3</formula>
    </cfRule>
  </conditionalFormatting>
  <conditionalFormatting sqref="C10:C12 J10:N12 P10:R12 Z10:Z12 AB10:AO12">
    <cfRule type="cellIs" priority="1240" operator="equal" aboveAverage="0" equalAverage="0" bottom="0" percent="0" rank="0" text="" dxfId="1238">
      <formula>$AS$3</formula>
    </cfRule>
  </conditionalFormatting>
  <conditionalFormatting sqref="C6 J6:R6 Z6:AO6">
    <cfRule type="cellIs" priority="1241" operator="equal" aboveAverage="0" equalAverage="0" bottom="0" percent="0" rank="0" text="" dxfId="1239">
      <formula>$AS$3</formula>
    </cfRule>
  </conditionalFormatting>
  <conditionalFormatting sqref="AK6">
    <cfRule type="cellIs" priority="1242" operator="equal" aboveAverage="0" equalAverage="0" bottom="0" percent="0" rank="0" text="" dxfId="1240">
      <formula>$AS$3</formula>
    </cfRule>
  </conditionalFormatting>
  <conditionalFormatting sqref="C6 AL6:AO6 J6:R6 Z6:AJ6">
    <cfRule type="cellIs" priority="1243" operator="equal" aboveAverage="0" equalAverage="0" bottom="0" percent="0" rank="0" text="" dxfId="1241">
      <formula>$AS$3</formula>
    </cfRule>
  </conditionalFormatting>
  <conditionalFormatting sqref="C5:AO5">
    <cfRule type="cellIs" priority="1244" operator="equal" aboveAverage="0" equalAverage="0" bottom="0" percent="0" rank="0" text="" dxfId="1242">
      <formula>$AS$3</formula>
    </cfRule>
  </conditionalFormatting>
  <conditionalFormatting sqref="W5">
    <cfRule type="cellIs" priority="1245" operator="equal" aboveAverage="0" equalAverage="0" bottom="0" percent="0" rank="0" text="" dxfId="1243">
      <formula>$AS$3</formula>
    </cfRule>
  </conditionalFormatting>
  <conditionalFormatting sqref="G5">
    <cfRule type="cellIs" priority="1246" operator="equal" aboveAverage="0" equalAverage="0" bottom="0" percent="0" rank="0" text="" dxfId="1244">
      <formula>$AS$3</formula>
    </cfRule>
  </conditionalFormatting>
  <conditionalFormatting sqref="C5">
    <cfRule type="cellIs" priority="1247" operator="equal" aboveAverage="0" equalAverage="0" bottom="0" percent="0" rank="0" text="" dxfId="1245">
      <formula>$AS$3</formula>
    </cfRule>
  </conditionalFormatting>
  <conditionalFormatting sqref="D5:F5 AM5:AO5 X5:AK5 Q5:V5 H5:I5 L5:O5">
    <cfRule type="cellIs" priority="1248" operator="equal" aboveAverage="0" equalAverage="0" bottom="0" percent="0" rank="0" text="" dxfId="1246">
      <formula>$AS$3</formula>
    </cfRule>
  </conditionalFormatting>
  <conditionalFormatting sqref="C3:AO3">
    <cfRule type="cellIs" priority="1249" operator="equal" aboveAverage="0" equalAverage="0" bottom="0" percent="0" rank="0" text="" dxfId="1247">
      <formula>$AS$3</formula>
    </cfRule>
  </conditionalFormatting>
  <conditionalFormatting sqref="G3">
    <cfRule type="cellIs" priority="1250" operator="equal" aboveAverage="0" equalAverage="0" bottom="0" percent="0" rank="0" text="" dxfId="1248">
      <formula>$AS$3</formula>
    </cfRule>
  </conditionalFormatting>
  <conditionalFormatting sqref="C3:F3 AM3:AO3 X3:AK3 Q3:V3 H3:O3">
    <cfRule type="cellIs" priority="1251" operator="equal" aboveAverage="0" equalAverage="0" bottom="0" percent="0" rank="0" text="" dxfId="1249">
      <formula>$AS$3</formula>
    </cfRule>
  </conditionalFormatting>
  <conditionalFormatting sqref="C8:AO9">
    <cfRule type="cellIs" priority="1252" operator="equal" aboveAverage="0" equalAverage="0" bottom="0" percent="0" rank="0" text="" dxfId="1250">
      <formula>$AS$3</formula>
    </cfRule>
  </conditionalFormatting>
  <conditionalFormatting sqref="N8:N9">
    <cfRule type="cellIs" priority="1253" operator="equal" aboveAverage="0" equalAverage="0" bottom="0" percent="0" rank="0" text="" dxfId="1251">
      <formula>$AS$3</formula>
    </cfRule>
  </conditionalFormatting>
  <conditionalFormatting sqref="M8:M9">
    <cfRule type="cellIs" priority="1254" operator="equal" aboveAverage="0" equalAverage="0" bottom="0" percent="0" rank="0" text="" dxfId="1252">
      <formula>$AS$3</formula>
    </cfRule>
  </conditionalFormatting>
  <conditionalFormatting sqref="C8:L9 O8:AO9">
    <cfRule type="cellIs" priority="1255" operator="equal" aboveAverage="0" equalAverage="0" bottom="0" percent="0" rank="0" text="" dxfId="1253">
      <formula>$AS$3</formula>
    </cfRule>
  </conditionalFormatting>
  <conditionalFormatting sqref="D7:AO7 C27 C16:AO16 C29:AO29 C36 C38:AO38 J36:AO36">
    <cfRule type="cellIs" priority="1256" operator="equal" aboveAverage="0" equalAverage="0" bottom="0" percent="0" rank="0" text="" dxfId="1254">
      <formula>$AS$3</formula>
    </cfRule>
  </conditionalFormatting>
  <conditionalFormatting sqref="AA7">
    <cfRule type="cellIs" priority="1257" operator="equal" aboveAverage="0" equalAverage="0" bottom="0" percent="0" rank="0" text="" dxfId="1255">
      <formula>$AS$3</formula>
    </cfRule>
  </conditionalFormatting>
  <conditionalFormatting sqref="AA36">
    <cfRule type="cellIs" priority="1258" operator="equal" aboveAverage="0" equalAverage="0" bottom="0" percent="0" rank="0" text="" dxfId="1256">
      <formula>$AS$3</formula>
    </cfRule>
  </conditionalFormatting>
  <conditionalFormatting sqref="D7">
    <cfRule type="cellIs" priority="1259" operator="equal" aboveAverage="0" equalAverage="0" bottom="0" percent="0" rank="0" text="" dxfId="1257">
      <formula>$AS$3</formula>
    </cfRule>
  </conditionalFormatting>
  <conditionalFormatting sqref="P29">
    <cfRule type="cellIs" priority="1260" operator="equal" aboveAverage="0" equalAverage="0" bottom="0" percent="0" rank="0" text="" dxfId="1258">
      <formula>$AS$3</formula>
    </cfRule>
  </conditionalFormatting>
  <conditionalFormatting sqref="O29">
    <cfRule type="cellIs" priority="1261" operator="equal" aboveAverage="0" equalAverage="0" bottom="0" percent="0" rank="0" text="" dxfId="1259">
      <formula>$AS$3</formula>
    </cfRule>
  </conditionalFormatting>
  <conditionalFormatting sqref="C29:N29 Q29:V29 C27">
    <cfRule type="cellIs" priority="1262" operator="equal" aboveAverage="0" equalAverage="0" bottom="0" percent="0" rank="0" text="" dxfId="1260">
      <formula>$AS$3</formula>
    </cfRule>
  </conditionalFormatting>
  <conditionalFormatting sqref="Z29:AO29 W29:X29 C38:AO38 E7:N7 AB36:AO36 P7:Z7 AB7:AO7 C36 C16:AO16 J36:Z36">
    <cfRule type="cellIs" priority="1263" operator="equal" aboveAverage="0" equalAverage="0" bottom="0" percent="0" rank="0" text="" dxfId="1261">
      <formula>$AS$3</formula>
    </cfRule>
  </conditionalFormatting>
  <conditionalFormatting sqref="AQ3:AQ45">
    <cfRule type="expression" priority="1264" aboveAverage="0" equalAverage="0" bottom="0" percent="0" rank="0" text="" dxfId="1262">
      <formula>AQ3=AR3</formula>
    </cfRule>
  </conditionalFormatting>
  <conditionalFormatting sqref="B13">
    <cfRule type="cellIs" priority="1265" operator="equal" aboveAverage="0" equalAverage="0" bottom="0" percent="0" rank="0" text="" dxfId="1263">
      <formula>$AS$3</formula>
    </cfRule>
  </conditionalFormatting>
  <conditionalFormatting sqref="B13">
    <cfRule type="cellIs" priority="1266" operator="equal" aboveAverage="0" equalAverage="0" bottom="0" percent="0" rank="0" text="" dxfId="1264">
      <formula>$AS$3</formula>
    </cfRule>
  </conditionalFormatting>
  <conditionalFormatting sqref="B26">
    <cfRule type="cellIs" priority="1267" operator="equal" aboveAverage="0" equalAverage="0" bottom="0" percent="0" rank="0" text="" dxfId="1265">
      <formula>$AS$3</formula>
    </cfRule>
  </conditionalFormatting>
  <conditionalFormatting sqref="B20">
    <cfRule type="cellIs" priority="1268" operator="equal" aboveAverage="0" equalAverage="0" bottom="0" percent="0" rank="0" text="" dxfId="1266">
      <formula>$AS$3</formula>
    </cfRule>
  </conditionalFormatting>
  <conditionalFormatting sqref="B19">
    <cfRule type="cellIs" priority="1269" operator="equal" aboveAverage="0" equalAverage="0" bottom="0" percent="0" rank="0" text="" dxfId="1267">
      <formula>$AS$3</formula>
    </cfRule>
  </conditionalFormatting>
  <conditionalFormatting sqref="B21">
    <cfRule type="cellIs" priority="1270" operator="equal" aboveAverage="0" equalAverage="0" bottom="0" percent="0" rank="0" text="" dxfId="1268">
      <formula>$AS$3</formula>
    </cfRule>
  </conditionalFormatting>
  <conditionalFormatting sqref="B20">
    <cfRule type="cellIs" priority="1271" operator="equal" aboveAverage="0" equalAverage="0" bottom="0" percent="0" rank="0" text="" dxfId="1269">
      <formula>$AS$3</formula>
    </cfRule>
  </conditionalFormatting>
  <conditionalFormatting sqref="B14">
    <cfRule type="cellIs" priority="1272" operator="equal" aboveAverage="0" equalAverage="0" bottom="0" percent="0" rank="0" text="" dxfId="1270">
      <formula>$AS$3</formula>
    </cfRule>
  </conditionalFormatting>
  <conditionalFormatting sqref="B25">
    <cfRule type="cellIs" priority="1273" operator="equal" aboveAverage="0" equalAverage="0" bottom="0" percent="0" rank="0" text="" dxfId="1271">
      <formula>$AS$3</formula>
    </cfRule>
  </conditionalFormatting>
  <conditionalFormatting sqref="B24:B26">
    <cfRule type="cellIs" priority="1274" operator="equal" aboveAverage="0" equalAverage="0" bottom="0" percent="0" rank="0" text="" dxfId="1272">
      <formula>$AS$3</formula>
    </cfRule>
  </conditionalFormatting>
  <conditionalFormatting sqref="B19">
    <cfRule type="cellIs" priority="1275" operator="equal" aboveAverage="0" equalAverage="0" bottom="0" percent="0" rank="0" text="" dxfId="1273">
      <formula>$AS$3</formula>
    </cfRule>
  </conditionalFormatting>
  <conditionalFormatting sqref="B18">
    <cfRule type="cellIs" priority="1276" operator="equal" aboveAverage="0" equalAverage="0" bottom="0" percent="0" rank="0" text="" dxfId="1274">
      <formula>$AS$3</formula>
    </cfRule>
  </conditionalFormatting>
  <conditionalFormatting sqref="B45">
    <cfRule type="cellIs" priority="1277" operator="equal" aboveAverage="0" equalAverage="0" bottom="0" percent="0" rank="0" text="" dxfId="1275">
      <formula>$AS$3</formula>
    </cfRule>
  </conditionalFormatting>
  <conditionalFormatting sqref="B20">
    <cfRule type="cellIs" priority="1278" operator="equal" aboveAverage="0" equalAverage="0" bottom="0" percent="0" rank="0" text="" dxfId="1276">
      <formula>$AS$3</formula>
    </cfRule>
  </conditionalFormatting>
  <conditionalFormatting sqref="B19">
    <cfRule type="cellIs" priority="1279" operator="equal" aboveAverage="0" equalAverage="0" bottom="0" percent="0" rank="0" text="" dxfId="1277">
      <formula>$AS$3</formula>
    </cfRule>
  </conditionalFormatting>
  <conditionalFormatting sqref="C48:AO48">
    <cfRule type="cellIs" priority="1280" operator="greaterThanOrEqual" aboveAverage="0" equalAverage="0" bottom="0" percent="0" rank="0" text="" dxfId="1278">
      <formula>2</formula>
    </cfRule>
    <cfRule type="cellIs" priority="1281" operator="equal" aboveAverage="0" equalAverage="0" bottom="0" percent="0" rank="0" text="" dxfId="1279">
      <formula>0</formula>
    </cfRule>
  </conditionalFormatting>
  <conditionalFormatting sqref="B46:AO46">
    <cfRule type="cellIs" priority="1282" operator="equal" aboveAverage="0" equalAverage="0" bottom="0" percent="0" rank="0" text="" dxfId="1280">
      <formula>$AS$3</formula>
    </cfRule>
  </conditionalFormatting>
  <conditionalFormatting sqref="B2:AO2 B3 B40:B44">
    <cfRule type="cellIs" priority="1283" operator="equal" aboveAverage="0" equalAverage="0" bottom="0" percent="0" rank="0" text="" dxfId="1281">
      <formula>$AS$3</formula>
    </cfRule>
  </conditionalFormatting>
  <conditionalFormatting sqref="B4:B12 B14:B41 C34:J34 L34:AO34 K20">
    <cfRule type="cellIs" priority="1284" operator="equal" aboveAverage="0" equalAverage="0" bottom="0" percent="0" rank="0" text="" dxfId="1282">
      <formula>$AS$3</formula>
    </cfRule>
  </conditionalFormatting>
  <conditionalFormatting sqref="AS3:AS5">
    <cfRule type="expression" priority="1285" aboveAverage="0" equalAverage="0" bottom="0" percent="0" rank="0" text="" dxfId="1283">
      <formula>$AS$4=$AS$5</formula>
    </cfRule>
  </conditionalFormatting>
  <dataValidations count="4">
    <dataValidation allowBlank="true" errorStyle="stop" operator="between" showDropDown="false" showErrorMessage="true" showInputMessage="true" sqref="A19 A28:A37 A39:A44" type="list">
      <formula1>$A$2:$A$41</formula1>
      <formula2>0</formula2>
    </dataValidation>
    <dataValidation allowBlank="true" errorStyle="stop" operator="between" showDropDown="false" showErrorMessage="true" showInputMessage="true" sqref="A3:A12 A14:A18 A20:A27" type="list">
      <formula1>'База данных'!$A$2:$A$43</formula1>
      <formula2>0</formula2>
    </dataValidation>
    <dataValidation allowBlank="true" errorStyle="stop" operator="between" showDropDown="false" showErrorMessage="true" showInputMessage="true" sqref="AS3" type="list">
      <formula1>'База данных'!$D$2:$AA$2</formula1>
      <formula2>0</formula2>
    </dataValidation>
    <dataValidation allowBlank="true" errorStyle="stop" operator="between" showDropDown="false" showErrorMessage="true" showInputMessage="true" sqref="C3:AO26 C27:G39 I27:AO27 H28:AO39 C40:AO45" type="list">
      <formula1>#REF!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9.1484375" defaultRowHeight="15.75" zeroHeight="false" outlineLevelRow="0" outlineLevelCol="0"/>
  <cols>
    <col collapsed="false" customWidth="true" hidden="false" outlineLevel="0" max="1" min="1" style="146" width="21.71"/>
    <col collapsed="false" customWidth="true" hidden="false" outlineLevel="0" max="2" min="2" style="147" width="11.26"/>
    <col collapsed="false" customWidth="true" hidden="false" outlineLevel="0" max="3" min="3" style="148" width="13.35"/>
    <col collapsed="false" customWidth="true" hidden="false" outlineLevel="0" max="4" min="4" style="147" width="9.57"/>
    <col collapsed="false" customWidth="true" hidden="false" outlineLevel="0" max="5" min="5" style="149" width="5.71"/>
    <col collapsed="false" customWidth="true" hidden="false" outlineLevel="0" max="6" min="6" style="146" width="21.71"/>
    <col collapsed="false" customWidth="false" hidden="false" outlineLevel="0" max="16381" min="7" style="146" width="9.14"/>
    <col collapsed="false" customWidth="true" hidden="false" outlineLevel="0" max="16384" min="16382" style="146" width="11.53"/>
  </cols>
  <sheetData>
    <row r="1" customFormat="false" ht="39.55" hidden="false" customHeight="false" outlineLevel="0" collapsed="false">
      <c r="A1" s="150" t="s">
        <v>83</v>
      </c>
      <c r="B1" s="151" t="s">
        <v>84</v>
      </c>
      <c r="C1" s="152" t="s">
        <v>85</v>
      </c>
      <c r="D1" s="151" t="s">
        <v>86</v>
      </c>
      <c r="E1" s="151" t="s">
        <v>85</v>
      </c>
    </row>
    <row r="2" customFormat="false" ht="15.75" hidden="false" customHeight="false" outlineLevel="0" collapsed="false">
      <c r="A2" s="153" t="s">
        <v>69</v>
      </c>
      <c r="B2" s="154" t="n">
        <v>202</v>
      </c>
      <c r="C2" s="154" t="n">
        <v>30</v>
      </c>
      <c r="D2" s="154" t="s">
        <v>87</v>
      </c>
      <c r="E2" s="154" t="n">
        <v>17</v>
      </c>
    </row>
    <row r="3" customFormat="false" ht="15.75" hidden="false" customHeight="false" outlineLevel="0" collapsed="false">
      <c r="A3" s="155" t="s">
        <v>57</v>
      </c>
      <c r="B3" s="154" t="n">
        <v>203</v>
      </c>
      <c r="C3" s="154" t="n">
        <v>30</v>
      </c>
      <c r="D3" s="154" t="n">
        <v>320</v>
      </c>
      <c r="E3" s="154" t="n">
        <v>30</v>
      </c>
    </row>
    <row r="4" customFormat="false" ht="15.75" hidden="false" customHeight="false" outlineLevel="0" collapsed="false">
      <c r="A4" s="155" t="s">
        <v>63</v>
      </c>
      <c r="B4" s="154" t="n">
        <v>211</v>
      </c>
      <c r="C4" s="154" t="n">
        <v>30</v>
      </c>
      <c r="D4" s="154"/>
      <c r="E4" s="154"/>
    </row>
    <row r="5" customFormat="false" ht="15.75" hidden="false" customHeight="false" outlineLevel="0" collapsed="false">
      <c r="A5" s="153" t="s">
        <v>51</v>
      </c>
      <c r="B5" s="154" t="n">
        <v>118</v>
      </c>
      <c r="C5" s="154" t="n">
        <v>30</v>
      </c>
      <c r="D5" s="154" t="n">
        <v>107</v>
      </c>
      <c r="E5" s="154" t="n">
        <v>30</v>
      </c>
    </row>
    <row r="6" customFormat="false" ht="15.75" hidden="false" customHeight="false" outlineLevel="0" collapsed="false">
      <c r="A6" s="153" t="s">
        <v>16</v>
      </c>
      <c r="B6" s="154" t="s">
        <v>88</v>
      </c>
      <c r="C6" s="154" t="s">
        <v>88</v>
      </c>
      <c r="D6" s="154" t="n">
        <v>216</v>
      </c>
      <c r="E6" s="154" t="n">
        <v>30</v>
      </c>
    </row>
    <row r="7" customFormat="false" ht="15.75" hidden="false" customHeight="false" outlineLevel="0" collapsed="false">
      <c r="A7" s="153" t="s">
        <v>20</v>
      </c>
      <c r="B7" s="154" t="s">
        <v>88</v>
      </c>
      <c r="C7" s="154" t="s">
        <v>88</v>
      </c>
      <c r="D7" s="154" t="n">
        <v>215</v>
      </c>
      <c r="E7" s="154" t="n">
        <v>30</v>
      </c>
    </row>
    <row r="8" customFormat="false" ht="15.75" hidden="false" customHeight="false" outlineLevel="0" collapsed="false">
      <c r="A8" s="153" t="s">
        <v>70</v>
      </c>
      <c r="B8" s="154" t="n">
        <v>214</v>
      </c>
      <c r="C8" s="154" t="n">
        <v>30</v>
      </c>
      <c r="D8" s="154" t="s">
        <v>88</v>
      </c>
      <c r="E8" s="154" t="s">
        <v>88</v>
      </c>
    </row>
    <row r="9" customFormat="false" ht="15.75" hidden="false" customHeight="false" outlineLevel="0" collapsed="false">
      <c r="A9" s="153" t="s">
        <v>59</v>
      </c>
      <c r="B9" s="154" t="s">
        <v>88</v>
      </c>
      <c r="C9" s="154" t="s">
        <v>88</v>
      </c>
      <c r="D9" s="154" t="n">
        <v>317</v>
      </c>
      <c r="E9" s="154" t="n">
        <v>30</v>
      </c>
    </row>
    <row r="10" customFormat="false" ht="15.75" hidden="false" customHeight="false" outlineLevel="0" collapsed="false">
      <c r="A10" s="153" t="s">
        <v>37</v>
      </c>
      <c r="B10" s="154" t="s">
        <v>88</v>
      </c>
      <c r="C10" s="154" t="s">
        <v>88</v>
      </c>
      <c r="D10" s="154" t="s">
        <v>89</v>
      </c>
      <c r="E10" s="154" t="n">
        <v>17</v>
      </c>
    </row>
    <row r="11" customFormat="false" ht="15.75" hidden="false" customHeight="false" outlineLevel="0" collapsed="false">
      <c r="A11" s="153" t="s">
        <v>54</v>
      </c>
      <c r="B11" s="154" t="n">
        <v>119</v>
      </c>
      <c r="C11" s="154" t="n">
        <v>30</v>
      </c>
      <c r="D11" s="154" t="n">
        <v>302</v>
      </c>
      <c r="E11" s="154" t="n">
        <v>30</v>
      </c>
    </row>
    <row r="12" customFormat="false" ht="15.75" hidden="false" customHeight="false" outlineLevel="0" collapsed="false">
      <c r="A12" s="153" t="s">
        <v>62</v>
      </c>
      <c r="B12" s="154" t="n">
        <v>101</v>
      </c>
      <c r="C12" s="154" t="n">
        <v>30</v>
      </c>
      <c r="D12" s="154"/>
      <c r="E12" s="154"/>
    </row>
    <row r="13" customFormat="false" ht="15.75" hidden="false" customHeight="false" outlineLevel="0" collapsed="false">
      <c r="A13" s="153" t="s">
        <v>38</v>
      </c>
      <c r="B13" s="154" t="s">
        <v>88</v>
      </c>
      <c r="C13" s="154" t="s">
        <v>88</v>
      </c>
      <c r="D13" s="154" t="n">
        <v>316</v>
      </c>
      <c r="E13" s="154" t="n">
        <v>30</v>
      </c>
    </row>
    <row r="14" customFormat="false" ht="15.75" hidden="false" customHeight="false" outlineLevel="0" collapsed="false">
      <c r="A14" s="153" t="s">
        <v>34</v>
      </c>
      <c r="B14" s="154" t="s">
        <v>88</v>
      </c>
      <c r="C14" s="154" t="s">
        <v>88</v>
      </c>
      <c r="D14" s="154" t="n">
        <v>308</v>
      </c>
      <c r="E14" s="154" t="n">
        <v>30</v>
      </c>
    </row>
    <row r="15" customFormat="false" ht="15.75" hidden="false" customHeight="false" outlineLevel="0" collapsed="false">
      <c r="A15" s="153" t="s">
        <v>80</v>
      </c>
      <c r="B15" s="154" t="s">
        <v>88</v>
      </c>
      <c r="C15" s="154" t="s">
        <v>88</v>
      </c>
      <c r="D15" s="154" t="n">
        <v>205</v>
      </c>
      <c r="E15" s="154" t="n">
        <v>30</v>
      </c>
    </row>
    <row r="16" customFormat="false" ht="15.75" hidden="false" customHeight="false" outlineLevel="0" collapsed="false">
      <c r="A16" s="153" t="s">
        <v>78</v>
      </c>
      <c r="B16" s="154" t="s">
        <v>88</v>
      </c>
      <c r="C16" s="154" t="s">
        <v>88</v>
      </c>
      <c r="D16" s="154" t="n">
        <v>314</v>
      </c>
      <c r="E16" s="154" t="n">
        <v>30</v>
      </c>
    </row>
    <row r="17" customFormat="false" ht="15.75" hidden="false" customHeight="false" outlineLevel="0" collapsed="false">
      <c r="A17" s="153" t="s">
        <v>65</v>
      </c>
      <c r="B17" s="154" t="n">
        <v>209</v>
      </c>
      <c r="C17" s="154" t="n">
        <v>30</v>
      </c>
      <c r="D17" s="154" t="s">
        <v>88</v>
      </c>
      <c r="E17" s="154" t="s">
        <v>88</v>
      </c>
    </row>
    <row r="18" customFormat="false" ht="15.75" hidden="false" customHeight="false" outlineLevel="0" collapsed="false">
      <c r="A18" s="153" t="s">
        <v>73</v>
      </c>
      <c r="B18" s="154" t="n">
        <v>205</v>
      </c>
      <c r="C18" s="154" t="n">
        <v>17</v>
      </c>
      <c r="D18" s="154" t="s">
        <v>88</v>
      </c>
      <c r="E18" s="154" t="s">
        <v>88</v>
      </c>
    </row>
    <row r="19" customFormat="false" ht="15.75" hidden="false" customHeight="false" outlineLevel="0" collapsed="false">
      <c r="A19" s="153" t="s">
        <v>39</v>
      </c>
      <c r="B19" s="154" t="n">
        <v>210</v>
      </c>
      <c r="C19" s="154" t="n">
        <v>30</v>
      </c>
      <c r="D19" s="154" t="s">
        <v>88</v>
      </c>
      <c r="E19" s="154" t="s">
        <v>88</v>
      </c>
    </row>
    <row r="20" customFormat="false" ht="15.75" hidden="false" customHeight="false" outlineLevel="0" collapsed="false">
      <c r="A20" s="153" t="s">
        <v>35</v>
      </c>
      <c r="B20" s="154" t="s">
        <v>88</v>
      </c>
      <c r="C20" s="154" t="s">
        <v>88</v>
      </c>
      <c r="D20" s="154" t="n">
        <v>304</v>
      </c>
      <c r="E20" s="154" t="n">
        <v>30</v>
      </c>
    </row>
    <row r="21" customFormat="false" ht="15.75" hidden="false" customHeight="false" outlineLevel="0" collapsed="false">
      <c r="A21" s="153" t="s">
        <v>56</v>
      </c>
      <c r="B21" s="154" t="n">
        <v>304</v>
      </c>
      <c r="C21" s="154" t="n">
        <v>30</v>
      </c>
      <c r="D21" s="154" t="n">
        <v>305</v>
      </c>
      <c r="E21" s="154" t="n">
        <v>30</v>
      </c>
    </row>
    <row r="22" customFormat="false" ht="15.75" hidden="false" customHeight="false" outlineLevel="0" collapsed="false">
      <c r="A22" s="155" t="s">
        <v>60</v>
      </c>
      <c r="B22" s="154" t="s">
        <v>88</v>
      </c>
      <c r="C22" s="154" t="s">
        <v>88</v>
      </c>
      <c r="D22" s="154" t="n">
        <v>220</v>
      </c>
      <c r="E22" s="154" t="n">
        <v>30</v>
      </c>
    </row>
    <row r="23" customFormat="false" ht="15.75" hidden="false" customHeight="false" outlineLevel="0" collapsed="false">
      <c r="A23" s="153" t="s">
        <v>50</v>
      </c>
      <c r="B23" s="154" t="s">
        <v>88</v>
      </c>
      <c r="C23" s="154" t="s">
        <v>88</v>
      </c>
      <c r="D23" s="154" t="s">
        <v>87</v>
      </c>
      <c r="E23" s="154" t="n">
        <v>17</v>
      </c>
    </row>
    <row r="24" customFormat="false" ht="15.75" hidden="false" customHeight="false" outlineLevel="0" collapsed="false">
      <c r="A24" s="153" t="s">
        <v>71</v>
      </c>
      <c r="B24" s="154" t="n">
        <v>212</v>
      </c>
      <c r="C24" s="154" t="n">
        <v>17</v>
      </c>
      <c r="D24" s="154" t="s">
        <v>88</v>
      </c>
      <c r="E24" s="154" t="s">
        <v>88</v>
      </c>
    </row>
    <row r="25" customFormat="false" ht="15.75" hidden="false" customHeight="false" outlineLevel="0" collapsed="false">
      <c r="A25" s="153" t="s">
        <v>52</v>
      </c>
      <c r="B25" s="154" t="s">
        <v>90</v>
      </c>
      <c r="C25" s="154" t="n">
        <v>17</v>
      </c>
      <c r="D25" s="154" t="s">
        <v>91</v>
      </c>
      <c r="E25" s="154" t="n">
        <v>17</v>
      </c>
    </row>
    <row r="26" customFormat="false" ht="15.75" hidden="false" customHeight="false" outlineLevel="0" collapsed="false">
      <c r="A26" s="153" t="s">
        <v>36</v>
      </c>
      <c r="B26" s="154" t="s">
        <v>88</v>
      </c>
      <c r="C26" s="154" t="s">
        <v>88</v>
      </c>
      <c r="D26" s="154" t="s">
        <v>92</v>
      </c>
      <c r="E26" s="154" t="n">
        <v>17</v>
      </c>
    </row>
    <row r="27" customFormat="false" ht="15.75" hidden="false" customHeight="false" outlineLevel="0" collapsed="false">
      <c r="A27" s="153" t="s">
        <v>58</v>
      </c>
      <c r="B27" s="154" t="s">
        <v>88</v>
      </c>
      <c r="C27" s="154" t="s">
        <v>88</v>
      </c>
      <c r="D27" s="154" t="n">
        <v>102</v>
      </c>
      <c r="E27" s="154" t="n">
        <v>30</v>
      </c>
    </row>
    <row r="28" customFormat="false" ht="15.75" hidden="false" customHeight="false" outlineLevel="0" collapsed="false">
      <c r="A28" s="153" t="s">
        <v>30</v>
      </c>
      <c r="B28" s="154" t="s">
        <v>88</v>
      </c>
      <c r="C28" s="154" t="s">
        <v>88</v>
      </c>
      <c r="D28" s="154" t="n">
        <v>310</v>
      </c>
      <c r="E28" s="154" t="n">
        <v>30</v>
      </c>
    </row>
    <row r="29" customFormat="false" ht="15.75" hidden="false" customHeight="false" outlineLevel="0" collapsed="false">
      <c r="A29" s="153" t="s">
        <v>64</v>
      </c>
      <c r="B29" s="154" t="n">
        <v>208</v>
      </c>
      <c r="C29" s="154" t="n">
        <v>30</v>
      </c>
      <c r="D29" s="154" t="n">
        <v>106</v>
      </c>
      <c r="E29" s="154" t="n">
        <v>30</v>
      </c>
    </row>
    <row r="30" customFormat="false" ht="15.75" hidden="false" customHeight="false" outlineLevel="0" collapsed="false">
      <c r="A30" s="153" t="s">
        <v>72</v>
      </c>
      <c r="B30" s="154" t="n">
        <v>302</v>
      </c>
      <c r="C30" s="154" t="n">
        <v>30</v>
      </c>
      <c r="D30" s="154" t="n">
        <v>221</v>
      </c>
      <c r="E30" s="154" t="n">
        <v>30</v>
      </c>
    </row>
    <row r="31" customFormat="false" ht="15.75" hidden="false" customHeight="false" outlineLevel="0" collapsed="false">
      <c r="A31" s="153" t="s">
        <v>61</v>
      </c>
      <c r="B31" s="154" t="n">
        <v>204</v>
      </c>
      <c r="C31" s="154" t="n">
        <v>30</v>
      </c>
      <c r="D31" s="154" t="s">
        <v>93</v>
      </c>
      <c r="E31" s="154" t="n">
        <v>30</v>
      </c>
    </row>
    <row r="32" customFormat="false" ht="15.75" hidden="false" customHeight="false" outlineLevel="0" collapsed="false">
      <c r="A32" s="153" t="s">
        <v>32</v>
      </c>
      <c r="B32" s="154" t="s">
        <v>88</v>
      </c>
      <c r="C32" s="154" t="s">
        <v>88</v>
      </c>
      <c r="D32" s="154" t="n">
        <v>312</v>
      </c>
      <c r="E32" s="154" t="n">
        <v>30</v>
      </c>
    </row>
    <row r="33" customFormat="false" ht="15.75" hidden="false" customHeight="false" outlineLevel="0" collapsed="false">
      <c r="A33" s="155" t="s">
        <v>67</v>
      </c>
      <c r="B33" s="154" t="n">
        <v>315</v>
      </c>
      <c r="C33" s="154" t="n">
        <v>30</v>
      </c>
      <c r="D33" s="154" t="n">
        <v>309</v>
      </c>
      <c r="E33" s="154" t="n">
        <v>30</v>
      </c>
    </row>
    <row r="34" customFormat="false" ht="15.75" hidden="false" customHeight="false" outlineLevel="0" collapsed="false">
      <c r="A34" s="153" t="s">
        <v>68</v>
      </c>
      <c r="B34" s="154" t="n">
        <v>106</v>
      </c>
      <c r="C34" s="154" t="n">
        <v>30</v>
      </c>
      <c r="D34" s="154" t="s">
        <v>88</v>
      </c>
      <c r="E34" s="154" t="s">
        <v>88</v>
      </c>
    </row>
    <row r="35" customFormat="false" ht="15.75" hidden="false" customHeight="false" outlineLevel="0" collapsed="false">
      <c r="A35" s="155" t="s">
        <v>55</v>
      </c>
      <c r="B35" s="154" t="n">
        <v>309</v>
      </c>
      <c r="C35" s="154" t="n">
        <v>30</v>
      </c>
      <c r="D35" s="154" t="n">
        <v>218</v>
      </c>
      <c r="E35" s="154" t="n">
        <v>30</v>
      </c>
    </row>
    <row r="36" customFormat="false" ht="15.75" hidden="false" customHeight="false" outlineLevel="0" collapsed="false">
      <c r="A36" s="153" t="s">
        <v>25</v>
      </c>
      <c r="B36" s="154" t="s">
        <v>88</v>
      </c>
      <c r="C36" s="154" t="s">
        <v>88</v>
      </c>
      <c r="D36" s="154" t="s">
        <v>94</v>
      </c>
      <c r="E36" s="154" t="s">
        <v>88</v>
      </c>
    </row>
    <row r="37" customFormat="false" ht="15.75" hidden="false" customHeight="false" outlineLevel="0" collapsed="false">
      <c r="A37" s="153" t="s">
        <v>74</v>
      </c>
      <c r="B37" s="154" t="n">
        <v>213</v>
      </c>
      <c r="C37" s="154" t="n">
        <v>30</v>
      </c>
      <c r="D37" s="154" t="s">
        <v>88</v>
      </c>
      <c r="E37" s="154" t="s">
        <v>88</v>
      </c>
    </row>
    <row r="38" customFormat="false" ht="15.75" hidden="false" customHeight="false" outlineLevel="0" collapsed="false">
      <c r="A38" s="153" t="s">
        <v>76</v>
      </c>
      <c r="B38" s="154" t="s">
        <v>88</v>
      </c>
      <c r="C38" s="154" t="s">
        <v>88</v>
      </c>
      <c r="D38" s="154" t="n">
        <v>314</v>
      </c>
      <c r="E38" s="154" t="n">
        <v>30</v>
      </c>
    </row>
    <row r="39" customFormat="false" ht="15.75" hidden="false" customHeight="false" outlineLevel="0" collapsed="false">
      <c r="A39" s="153" t="s">
        <v>53</v>
      </c>
      <c r="B39" s="154" t="s">
        <v>95</v>
      </c>
      <c r="C39" s="154" t="n">
        <v>17</v>
      </c>
      <c r="D39" s="154" t="s">
        <v>96</v>
      </c>
      <c r="E39" s="154" t="n">
        <v>17</v>
      </c>
    </row>
    <row r="40" customFormat="false" ht="15.75" hidden="false" customHeight="false" outlineLevel="0" collapsed="false">
      <c r="A40" s="153" t="s">
        <v>9</v>
      </c>
      <c r="B40" s="154" t="s">
        <v>88</v>
      </c>
      <c r="C40" s="154" t="s">
        <v>88</v>
      </c>
      <c r="D40" s="154" t="n">
        <v>315</v>
      </c>
      <c r="E40" s="154" t="n">
        <v>30</v>
      </c>
    </row>
    <row r="41" customFormat="false" ht="15.75" hidden="false" customHeight="false" outlineLevel="0" collapsed="false">
      <c r="A41" s="153" t="s">
        <v>77</v>
      </c>
      <c r="B41" s="154" t="n">
        <v>108</v>
      </c>
      <c r="C41" s="154" t="n">
        <v>30</v>
      </c>
      <c r="D41" s="154" t="s">
        <v>88</v>
      </c>
      <c r="E41" s="154" t="s">
        <v>88</v>
      </c>
    </row>
    <row r="42" customFormat="false" ht="15.75" hidden="false" customHeight="false" outlineLevel="0" collapsed="false">
      <c r="A42" s="153" t="s">
        <v>66</v>
      </c>
      <c r="B42" s="154" t="s">
        <v>88</v>
      </c>
      <c r="C42" s="154" t="s">
        <v>88</v>
      </c>
      <c r="D42" s="154" t="n">
        <v>108</v>
      </c>
      <c r="E42" s="154" t="n">
        <v>30</v>
      </c>
    </row>
    <row r="43" customFormat="false" ht="15.75" hidden="false" customHeight="false" outlineLevel="0" collapsed="false">
      <c r="A43" s="155" t="s">
        <v>75</v>
      </c>
      <c r="B43" s="154" t="s">
        <v>97</v>
      </c>
      <c r="C43" s="154" t="s">
        <v>88</v>
      </c>
      <c r="D43" s="154" t="s">
        <v>88</v>
      </c>
      <c r="E43" s="154" t="s">
        <v>88</v>
      </c>
    </row>
    <row r="44" customFormat="false" ht="15.75" hidden="false" customHeight="false" outlineLevel="0" collapsed="false">
      <c r="B44" s="156"/>
      <c r="C44" s="156"/>
      <c r="D44" s="156"/>
      <c r="E44" s="157"/>
    </row>
    <row r="45" customFormat="false" ht="15.75" hidden="false" customHeight="false" outlineLevel="0" collapsed="false">
      <c r="B45" s="156"/>
      <c r="C45" s="156"/>
      <c r="D45" s="156"/>
      <c r="E45" s="157"/>
    </row>
    <row r="46" customFormat="false" ht="15.75" hidden="false" customHeight="false" outlineLevel="0" collapsed="false">
      <c r="B46" s="156"/>
      <c r="C46" s="156"/>
      <c r="D46" s="156"/>
      <c r="E46" s="157"/>
    </row>
    <row r="47" customFormat="false" ht="15.75" hidden="false" customHeight="false" outlineLevel="0" collapsed="false">
      <c r="B47" s="156"/>
      <c r="C47" s="156"/>
      <c r="D47" s="156"/>
      <c r="E47" s="157"/>
    </row>
    <row r="48" customFormat="false" ht="15.75" hidden="false" customHeight="false" outlineLevel="0" collapsed="false">
      <c r="B48" s="156"/>
      <c r="C48" s="156"/>
      <c r="D48" s="156"/>
      <c r="E48" s="157"/>
    </row>
    <row r="49" customFormat="false" ht="15.75" hidden="false" customHeight="false" outlineLevel="0" collapsed="false">
      <c r="B49" s="156"/>
      <c r="C49" s="156"/>
      <c r="D49" s="156"/>
      <c r="E49" s="157"/>
    </row>
    <row r="50" customFormat="false" ht="15.75" hidden="false" customHeight="false" outlineLevel="0" collapsed="false">
      <c r="B50" s="156"/>
      <c r="C50" s="156"/>
      <c r="D50" s="156"/>
      <c r="E50" s="157"/>
    </row>
    <row r="51" customFormat="false" ht="15.75" hidden="false" customHeight="false" outlineLevel="0" collapsed="false">
      <c r="B51" s="156"/>
      <c r="C51" s="156"/>
      <c r="D51" s="156"/>
      <c r="E51" s="157"/>
    </row>
    <row r="52" customFormat="false" ht="15.75" hidden="false" customHeight="false" outlineLevel="0" collapsed="false">
      <c r="B52" s="156"/>
      <c r="C52" s="156"/>
      <c r="D52" s="156"/>
      <c r="E52" s="157"/>
    </row>
    <row r="53" customFormat="false" ht="15.75" hidden="false" customHeight="false" outlineLevel="0" collapsed="false">
      <c r="B53" s="156"/>
      <c r="C53" s="156"/>
      <c r="D53" s="156"/>
      <c r="E53" s="157"/>
    </row>
    <row r="54" customFormat="false" ht="15.75" hidden="false" customHeight="false" outlineLevel="0" collapsed="false">
      <c r="B54" s="156"/>
      <c r="C54" s="156"/>
      <c r="D54" s="156"/>
      <c r="E54" s="157"/>
    </row>
    <row r="55" customFormat="false" ht="15.75" hidden="false" customHeight="false" outlineLevel="0" collapsed="false">
      <c r="B55" s="156"/>
      <c r="C55" s="156"/>
      <c r="D55" s="156"/>
      <c r="E55" s="157"/>
    </row>
    <row r="56" customFormat="false" ht="15.75" hidden="false" customHeight="false" outlineLevel="0" collapsed="false">
      <c r="B56" s="156"/>
      <c r="C56" s="156"/>
      <c r="D56" s="156"/>
      <c r="E56" s="157"/>
    </row>
    <row r="57" customFormat="false" ht="15.75" hidden="false" customHeight="false" outlineLevel="0" collapsed="false">
      <c r="B57" s="156"/>
      <c r="C57" s="156"/>
      <c r="D57" s="156"/>
      <c r="E57" s="157"/>
    </row>
    <row r="58" customFormat="false" ht="15.75" hidden="false" customHeight="false" outlineLevel="0" collapsed="false">
      <c r="B58" s="156"/>
      <c r="C58" s="156"/>
      <c r="D58" s="156"/>
      <c r="E58" s="157"/>
    </row>
    <row r="59" customFormat="false" ht="15.75" hidden="false" customHeight="false" outlineLevel="0" collapsed="false">
      <c r="B59" s="156"/>
      <c r="C59" s="156"/>
      <c r="D59" s="156"/>
      <c r="E59" s="157"/>
    </row>
    <row r="60" customFormat="false" ht="15.75" hidden="false" customHeight="false" outlineLevel="0" collapsed="false">
      <c r="B60" s="156"/>
      <c r="C60" s="156"/>
      <c r="D60" s="156"/>
      <c r="E60" s="157"/>
    </row>
    <row r="61" customFormat="false" ht="15.75" hidden="false" customHeight="false" outlineLevel="0" collapsed="false">
      <c r="B61" s="156"/>
      <c r="C61" s="156"/>
      <c r="D61" s="156"/>
      <c r="E61" s="157"/>
    </row>
    <row r="62" customFormat="false" ht="15.75" hidden="false" customHeight="false" outlineLevel="0" collapsed="false">
      <c r="B62" s="156"/>
      <c r="C62" s="156"/>
      <c r="D62" s="156"/>
      <c r="E62" s="157"/>
    </row>
    <row r="63" customFormat="false" ht="15.75" hidden="false" customHeight="false" outlineLevel="0" collapsed="false">
      <c r="B63" s="156"/>
      <c r="C63" s="156"/>
      <c r="D63" s="156"/>
      <c r="E63" s="157"/>
    </row>
    <row r="64" customFormat="false" ht="15.75" hidden="false" customHeight="false" outlineLevel="0" collapsed="false">
      <c r="B64" s="156"/>
      <c r="C64" s="156"/>
      <c r="D64" s="156"/>
      <c r="E64" s="157"/>
    </row>
    <row r="65" customFormat="false" ht="15.75" hidden="false" customHeight="false" outlineLevel="0" collapsed="false">
      <c r="B65" s="156"/>
      <c r="C65" s="156"/>
      <c r="D65" s="156"/>
      <c r="E65" s="157"/>
    </row>
    <row r="66" customFormat="false" ht="15.75" hidden="false" customHeight="false" outlineLevel="0" collapsed="false">
      <c r="B66" s="156"/>
      <c r="C66" s="156"/>
      <c r="D66" s="156"/>
      <c r="E66" s="157"/>
    </row>
    <row r="67" customFormat="false" ht="15.75" hidden="false" customHeight="false" outlineLevel="0" collapsed="false">
      <c r="B67" s="156"/>
      <c r="C67" s="156"/>
      <c r="D67" s="156"/>
      <c r="E67" s="157"/>
    </row>
    <row r="68" customFormat="false" ht="15.75" hidden="false" customHeight="false" outlineLevel="0" collapsed="false">
      <c r="B68" s="156"/>
      <c r="C68" s="156"/>
      <c r="D68" s="156"/>
      <c r="E68" s="157"/>
    </row>
    <row r="69" customFormat="false" ht="15.75" hidden="false" customHeight="false" outlineLevel="0" collapsed="false">
      <c r="B69" s="156"/>
      <c r="C69" s="156"/>
      <c r="D69" s="156"/>
      <c r="E69" s="157"/>
    </row>
    <row r="70" customFormat="false" ht="15.75" hidden="false" customHeight="false" outlineLevel="0" collapsed="false">
      <c r="B70" s="156"/>
      <c r="C70" s="156"/>
      <c r="D70" s="156"/>
      <c r="E70" s="157"/>
    </row>
    <row r="71" customFormat="false" ht="15.75" hidden="false" customHeight="false" outlineLevel="0" collapsed="false">
      <c r="B71" s="156"/>
      <c r="C71" s="156"/>
      <c r="D71" s="156"/>
      <c r="E71" s="157"/>
    </row>
    <row r="72" customFormat="false" ht="15.75" hidden="false" customHeight="false" outlineLevel="0" collapsed="false">
      <c r="B72" s="156"/>
      <c r="C72" s="156"/>
      <c r="D72" s="156"/>
      <c r="E72" s="157"/>
    </row>
    <row r="73" customFormat="false" ht="15.75" hidden="false" customHeight="false" outlineLevel="0" collapsed="false">
      <c r="B73" s="156"/>
      <c r="C73" s="156"/>
      <c r="D73" s="156"/>
      <c r="E73" s="157"/>
    </row>
    <row r="74" customFormat="false" ht="15.75" hidden="false" customHeight="false" outlineLevel="0" collapsed="false">
      <c r="B74" s="156"/>
      <c r="C74" s="156"/>
      <c r="D74" s="156"/>
      <c r="E74" s="157"/>
    </row>
    <row r="75" customFormat="false" ht="15.75" hidden="false" customHeight="false" outlineLevel="0" collapsed="false">
      <c r="B75" s="156"/>
      <c r="C75" s="156"/>
      <c r="D75" s="156"/>
      <c r="E75" s="157"/>
    </row>
    <row r="76" customFormat="false" ht="15.75" hidden="false" customHeight="false" outlineLevel="0" collapsed="false">
      <c r="B76" s="156"/>
      <c r="C76" s="156"/>
      <c r="D76" s="156"/>
      <c r="E76" s="157"/>
    </row>
    <row r="77" customFormat="false" ht="15.75" hidden="false" customHeight="false" outlineLevel="0" collapsed="false">
      <c r="B77" s="156"/>
      <c r="C77" s="156"/>
      <c r="D77" s="156"/>
      <c r="E77" s="157"/>
    </row>
    <row r="78" customFormat="false" ht="15.75" hidden="false" customHeight="false" outlineLevel="0" collapsed="false">
      <c r="B78" s="156"/>
      <c r="C78" s="156"/>
      <c r="D78" s="156"/>
      <c r="E78" s="157"/>
    </row>
    <row r="79" customFormat="false" ht="15.75" hidden="false" customHeight="false" outlineLevel="0" collapsed="false">
      <c r="B79" s="156"/>
      <c r="C79" s="156"/>
      <c r="D79" s="156"/>
      <c r="E79" s="157"/>
    </row>
    <row r="80" customFormat="false" ht="15.75" hidden="false" customHeight="false" outlineLevel="0" collapsed="false">
      <c r="B80" s="156"/>
      <c r="C80" s="156"/>
      <c r="D80" s="156"/>
      <c r="E80" s="157"/>
    </row>
    <row r="81" customFormat="false" ht="15.75" hidden="false" customHeight="false" outlineLevel="0" collapsed="false">
      <c r="B81" s="156"/>
      <c r="C81" s="156"/>
      <c r="D81" s="156"/>
      <c r="E81" s="157"/>
    </row>
    <row r="82" customFormat="false" ht="15.75" hidden="false" customHeight="false" outlineLevel="0" collapsed="false">
      <c r="B82" s="156"/>
      <c r="C82" s="156"/>
      <c r="D82" s="156"/>
      <c r="E82" s="157"/>
    </row>
    <row r="83" customFormat="false" ht="15.75" hidden="false" customHeight="false" outlineLevel="0" collapsed="false">
      <c r="B83" s="156"/>
      <c r="C83" s="156"/>
      <c r="D83" s="156"/>
      <c r="E83" s="157"/>
    </row>
    <row r="84" customFormat="false" ht="15.75" hidden="false" customHeight="false" outlineLevel="0" collapsed="false">
      <c r="B84" s="156"/>
      <c r="C84" s="156"/>
      <c r="D84" s="156"/>
      <c r="E84" s="157"/>
    </row>
    <row r="85" customFormat="false" ht="15.75" hidden="false" customHeight="false" outlineLevel="0" collapsed="false">
      <c r="B85" s="156"/>
      <c r="C85" s="156"/>
      <c r="D85" s="156"/>
      <c r="E85" s="157"/>
    </row>
    <row r="86" customFormat="false" ht="15.75" hidden="false" customHeight="false" outlineLevel="0" collapsed="false">
      <c r="B86" s="156"/>
      <c r="C86" s="156"/>
      <c r="D86" s="156"/>
      <c r="E86" s="157"/>
    </row>
    <row r="87" customFormat="false" ht="15.75" hidden="false" customHeight="false" outlineLevel="0" collapsed="false">
      <c r="B87" s="156"/>
      <c r="C87" s="156"/>
      <c r="D87" s="156"/>
      <c r="E87" s="157"/>
    </row>
    <row r="88" customFormat="false" ht="15.75" hidden="false" customHeight="false" outlineLevel="0" collapsed="false">
      <c r="B88" s="156"/>
      <c r="C88" s="156"/>
      <c r="D88" s="156"/>
      <c r="E88" s="157"/>
    </row>
    <row r="89" customFormat="false" ht="15.75" hidden="false" customHeight="false" outlineLevel="0" collapsed="false">
      <c r="B89" s="156"/>
      <c r="C89" s="156"/>
      <c r="D89" s="156"/>
      <c r="E89" s="157"/>
    </row>
    <row r="90" customFormat="false" ht="15.75" hidden="false" customHeight="false" outlineLevel="0" collapsed="false">
      <c r="B90" s="156"/>
      <c r="C90" s="156"/>
      <c r="D90" s="156"/>
      <c r="E90" s="157"/>
    </row>
    <row r="91" customFormat="false" ht="15.75" hidden="false" customHeight="false" outlineLevel="0" collapsed="false">
      <c r="B91" s="156"/>
      <c r="C91" s="156"/>
      <c r="D91" s="156"/>
      <c r="E91" s="157"/>
    </row>
    <row r="92" customFormat="false" ht="15.75" hidden="false" customHeight="false" outlineLevel="0" collapsed="false">
      <c r="B92" s="156"/>
      <c r="C92" s="156"/>
      <c r="D92" s="156"/>
      <c r="E92" s="157"/>
    </row>
    <row r="93" customFormat="false" ht="15.75" hidden="false" customHeight="false" outlineLevel="0" collapsed="false">
      <c r="B93" s="156"/>
      <c r="C93" s="156"/>
      <c r="D93" s="156"/>
      <c r="E93" s="157"/>
    </row>
    <row r="94" customFormat="false" ht="15.75" hidden="false" customHeight="false" outlineLevel="0" collapsed="false">
      <c r="B94" s="156"/>
      <c r="C94" s="156"/>
      <c r="D94" s="156"/>
      <c r="E94" s="157"/>
    </row>
    <row r="95" customFormat="false" ht="15.75" hidden="false" customHeight="false" outlineLevel="0" collapsed="false">
      <c r="B95" s="156"/>
      <c r="C95" s="156"/>
      <c r="D95" s="156"/>
      <c r="E95" s="157"/>
    </row>
    <row r="96" customFormat="false" ht="15.75" hidden="false" customHeight="false" outlineLevel="0" collapsed="false">
      <c r="B96" s="156"/>
      <c r="C96" s="156"/>
      <c r="D96" s="156"/>
      <c r="E96" s="157"/>
    </row>
    <row r="97" customFormat="false" ht="15.75" hidden="false" customHeight="false" outlineLevel="0" collapsed="false">
      <c r="B97" s="156"/>
      <c r="C97" s="156"/>
      <c r="D97" s="156"/>
      <c r="E97" s="157"/>
    </row>
    <row r="98" customFormat="false" ht="15.75" hidden="false" customHeight="false" outlineLevel="0" collapsed="false">
      <c r="B98" s="156"/>
      <c r="C98" s="156"/>
      <c r="D98" s="156"/>
      <c r="E98" s="157"/>
    </row>
    <row r="99" customFormat="false" ht="15.75" hidden="false" customHeight="false" outlineLevel="0" collapsed="false">
      <c r="B99" s="156"/>
      <c r="C99" s="156"/>
      <c r="D99" s="156"/>
      <c r="E99" s="157"/>
    </row>
    <row r="100" customFormat="false" ht="15.75" hidden="false" customHeight="false" outlineLevel="0" collapsed="false">
      <c r="B100" s="156"/>
      <c r="C100" s="156"/>
      <c r="D100" s="156"/>
      <c r="E100" s="157"/>
    </row>
    <row r="101" customFormat="false" ht="15.75" hidden="false" customHeight="false" outlineLevel="0" collapsed="false">
      <c r="B101" s="156"/>
      <c r="C101" s="156"/>
      <c r="D101" s="156"/>
      <c r="E101" s="157"/>
    </row>
    <row r="102" customFormat="false" ht="15.75" hidden="false" customHeight="false" outlineLevel="0" collapsed="false">
      <c r="B102" s="156"/>
      <c r="C102" s="156"/>
      <c r="D102" s="156"/>
      <c r="E102" s="157"/>
    </row>
    <row r="103" customFormat="false" ht="15.75" hidden="false" customHeight="false" outlineLevel="0" collapsed="false">
      <c r="B103" s="156"/>
      <c r="C103" s="156"/>
      <c r="D103" s="156"/>
      <c r="E103" s="157"/>
    </row>
    <row r="104" customFormat="false" ht="15.75" hidden="false" customHeight="false" outlineLevel="0" collapsed="false">
      <c r="B104" s="156"/>
      <c r="C104" s="156"/>
      <c r="D104" s="156"/>
      <c r="E104" s="157"/>
    </row>
    <row r="105" customFormat="false" ht="15.75" hidden="false" customHeight="false" outlineLevel="0" collapsed="false">
      <c r="B105" s="156"/>
      <c r="C105" s="156"/>
      <c r="D105" s="156"/>
      <c r="E105" s="157"/>
    </row>
    <row r="106" customFormat="false" ht="15.75" hidden="false" customHeight="false" outlineLevel="0" collapsed="false">
      <c r="B106" s="156"/>
      <c r="C106" s="156"/>
      <c r="D106" s="156"/>
      <c r="E106" s="157"/>
    </row>
    <row r="107" customFormat="false" ht="15.75" hidden="false" customHeight="false" outlineLevel="0" collapsed="false">
      <c r="B107" s="156"/>
      <c r="C107" s="156"/>
      <c r="D107" s="156"/>
      <c r="E107" s="157"/>
    </row>
    <row r="108" customFormat="false" ht="15.75" hidden="false" customHeight="false" outlineLevel="0" collapsed="false">
      <c r="B108" s="156"/>
      <c r="C108" s="156"/>
      <c r="D108" s="156"/>
      <c r="E108" s="157"/>
    </row>
    <row r="109" customFormat="false" ht="15.75" hidden="false" customHeight="false" outlineLevel="0" collapsed="false">
      <c r="B109" s="156"/>
      <c r="C109" s="156"/>
      <c r="D109" s="156"/>
      <c r="E109" s="157"/>
    </row>
    <row r="110" customFormat="false" ht="15.75" hidden="false" customHeight="false" outlineLevel="0" collapsed="false">
      <c r="B110" s="156"/>
      <c r="C110" s="156"/>
      <c r="D110" s="156"/>
      <c r="E110" s="157"/>
    </row>
    <row r="111" customFormat="false" ht="15.75" hidden="false" customHeight="false" outlineLevel="0" collapsed="false">
      <c r="B111" s="156"/>
      <c r="C111" s="156"/>
      <c r="D111" s="156"/>
      <c r="E111" s="157"/>
    </row>
    <row r="112" customFormat="false" ht="15.75" hidden="false" customHeight="false" outlineLevel="0" collapsed="false">
      <c r="B112" s="156"/>
      <c r="C112" s="156"/>
      <c r="D112" s="156"/>
      <c r="E112" s="157"/>
    </row>
    <row r="113" customFormat="false" ht="15.75" hidden="false" customHeight="false" outlineLevel="0" collapsed="false">
      <c r="B113" s="156"/>
      <c r="C113" s="156"/>
      <c r="D113" s="156"/>
      <c r="E113" s="157"/>
    </row>
    <row r="114" customFormat="false" ht="15.75" hidden="false" customHeight="false" outlineLevel="0" collapsed="false">
      <c r="B114" s="156"/>
      <c r="C114" s="156"/>
      <c r="D114" s="156"/>
      <c r="E114" s="157"/>
    </row>
    <row r="115" customFormat="false" ht="15.75" hidden="false" customHeight="false" outlineLevel="0" collapsed="false">
      <c r="B115" s="156"/>
      <c r="C115" s="156"/>
      <c r="D115" s="156"/>
      <c r="E115" s="157"/>
    </row>
    <row r="116" customFormat="false" ht="15.75" hidden="false" customHeight="false" outlineLevel="0" collapsed="false">
      <c r="B116" s="156"/>
      <c r="C116" s="156"/>
      <c r="D116" s="156"/>
      <c r="E116" s="157"/>
    </row>
    <row r="117" customFormat="false" ht="15.75" hidden="false" customHeight="false" outlineLevel="0" collapsed="false">
      <c r="B117" s="156"/>
      <c r="C117" s="156"/>
      <c r="D117" s="156"/>
      <c r="E117" s="157"/>
    </row>
    <row r="118" customFormat="false" ht="15.75" hidden="false" customHeight="false" outlineLevel="0" collapsed="false">
      <c r="B118" s="156"/>
      <c r="C118" s="156"/>
      <c r="D118" s="156"/>
      <c r="E118" s="157"/>
    </row>
    <row r="119" customFormat="false" ht="15.75" hidden="false" customHeight="false" outlineLevel="0" collapsed="false">
      <c r="B119" s="156"/>
      <c r="C119" s="156"/>
      <c r="D119" s="156"/>
      <c r="E119" s="157"/>
    </row>
    <row r="120" customFormat="false" ht="15.75" hidden="false" customHeight="false" outlineLevel="0" collapsed="false">
      <c r="B120" s="156"/>
      <c r="C120" s="156"/>
      <c r="D120" s="156"/>
      <c r="E120" s="157"/>
    </row>
    <row r="121" customFormat="false" ht="15.75" hidden="false" customHeight="false" outlineLevel="0" collapsed="false">
      <c r="B121" s="156"/>
      <c r="C121" s="156"/>
      <c r="D121" s="156"/>
      <c r="E121" s="157"/>
    </row>
    <row r="122" customFormat="false" ht="15.75" hidden="false" customHeight="false" outlineLevel="0" collapsed="false">
      <c r="B122" s="156"/>
      <c r="C122" s="156"/>
      <c r="D122" s="156"/>
      <c r="E122" s="157"/>
    </row>
    <row r="123" customFormat="false" ht="15.75" hidden="false" customHeight="false" outlineLevel="0" collapsed="false">
      <c r="B123" s="156"/>
      <c r="C123" s="156"/>
      <c r="D123" s="156"/>
      <c r="E123" s="157"/>
    </row>
    <row r="124" customFormat="false" ht="15.75" hidden="false" customHeight="false" outlineLevel="0" collapsed="false">
      <c r="B124" s="156"/>
      <c r="C124" s="156"/>
      <c r="D124" s="156"/>
      <c r="E124" s="157"/>
    </row>
    <row r="125" customFormat="false" ht="15.75" hidden="false" customHeight="false" outlineLevel="0" collapsed="false">
      <c r="B125" s="156"/>
      <c r="C125" s="156"/>
      <c r="D125" s="156"/>
      <c r="E125" s="157"/>
    </row>
    <row r="126" customFormat="false" ht="15.75" hidden="false" customHeight="false" outlineLevel="0" collapsed="false">
      <c r="B126" s="156"/>
      <c r="C126" s="156"/>
      <c r="D126" s="156"/>
      <c r="E126" s="157"/>
    </row>
    <row r="127" customFormat="false" ht="15.75" hidden="false" customHeight="false" outlineLevel="0" collapsed="false">
      <c r="B127" s="156"/>
      <c r="C127" s="156"/>
      <c r="D127" s="156"/>
      <c r="E127" s="157"/>
    </row>
    <row r="128" customFormat="false" ht="15.75" hidden="false" customHeight="false" outlineLevel="0" collapsed="false">
      <c r="B128" s="156"/>
      <c r="C128" s="156"/>
      <c r="D128" s="156"/>
      <c r="E128" s="157"/>
    </row>
    <row r="129" customFormat="false" ht="15.75" hidden="false" customHeight="false" outlineLevel="0" collapsed="false">
      <c r="B129" s="156"/>
      <c r="C129" s="156"/>
      <c r="D129" s="156"/>
      <c r="E129" s="157"/>
    </row>
    <row r="130" customFormat="false" ht="15.75" hidden="false" customHeight="false" outlineLevel="0" collapsed="false">
      <c r="B130" s="156"/>
      <c r="C130" s="156"/>
      <c r="D130" s="156"/>
      <c r="E130" s="157"/>
    </row>
    <row r="131" customFormat="false" ht="15.75" hidden="false" customHeight="false" outlineLevel="0" collapsed="false">
      <c r="B131" s="156"/>
      <c r="C131" s="156"/>
      <c r="D131" s="156"/>
      <c r="E131" s="157"/>
    </row>
    <row r="132" customFormat="false" ht="15.75" hidden="false" customHeight="false" outlineLevel="0" collapsed="false">
      <c r="B132" s="156"/>
      <c r="C132" s="156"/>
      <c r="D132" s="156"/>
      <c r="E132" s="157"/>
    </row>
    <row r="133" customFormat="false" ht="15.75" hidden="false" customHeight="false" outlineLevel="0" collapsed="false">
      <c r="B133" s="156"/>
      <c r="C133" s="156"/>
      <c r="D133" s="156"/>
      <c r="E133" s="157"/>
    </row>
    <row r="134" customFormat="false" ht="15.75" hidden="false" customHeight="false" outlineLevel="0" collapsed="false">
      <c r="B134" s="156"/>
      <c r="C134" s="156"/>
      <c r="D134" s="156"/>
      <c r="E134" s="157"/>
    </row>
    <row r="135" customFormat="false" ht="15.75" hidden="false" customHeight="false" outlineLevel="0" collapsed="false">
      <c r="B135" s="156"/>
      <c r="C135" s="156"/>
      <c r="D135" s="156"/>
      <c r="E135" s="157"/>
    </row>
    <row r="136" customFormat="false" ht="15.75" hidden="false" customHeight="false" outlineLevel="0" collapsed="false">
      <c r="B136" s="156"/>
      <c r="C136" s="156"/>
      <c r="D136" s="156"/>
      <c r="E136" s="157"/>
    </row>
    <row r="137" customFormat="false" ht="15.75" hidden="false" customHeight="false" outlineLevel="0" collapsed="false">
      <c r="B137" s="156"/>
      <c r="C137" s="156"/>
      <c r="D137" s="156"/>
      <c r="E137" s="157"/>
    </row>
    <row r="138" customFormat="false" ht="15.75" hidden="false" customHeight="false" outlineLevel="0" collapsed="false">
      <c r="B138" s="156"/>
      <c r="C138" s="156"/>
      <c r="D138" s="156"/>
      <c r="E138" s="157"/>
    </row>
    <row r="139" customFormat="false" ht="15.75" hidden="false" customHeight="false" outlineLevel="0" collapsed="false">
      <c r="B139" s="156"/>
      <c r="C139" s="156"/>
      <c r="D139" s="156"/>
      <c r="E139" s="157"/>
    </row>
    <row r="140" customFormat="false" ht="15.75" hidden="false" customHeight="false" outlineLevel="0" collapsed="false">
      <c r="B140" s="156"/>
      <c r="C140" s="156"/>
      <c r="D140" s="156"/>
      <c r="E140" s="157"/>
    </row>
    <row r="141" customFormat="false" ht="15.75" hidden="false" customHeight="false" outlineLevel="0" collapsed="false">
      <c r="B141" s="156"/>
      <c r="C141" s="156"/>
      <c r="D141" s="156"/>
      <c r="E141" s="157"/>
    </row>
    <row r="142" customFormat="false" ht="15.75" hidden="false" customHeight="false" outlineLevel="0" collapsed="false">
      <c r="B142" s="156"/>
      <c r="C142" s="156"/>
      <c r="D142" s="156"/>
      <c r="E142" s="157"/>
    </row>
    <row r="143" customFormat="false" ht="15.75" hidden="false" customHeight="false" outlineLevel="0" collapsed="false">
      <c r="B143" s="156"/>
      <c r="C143" s="156"/>
      <c r="D143" s="156"/>
      <c r="E143" s="157"/>
    </row>
    <row r="144" customFormat="false" ht="15.75" hidden="false" customHeight="false" outlineLevel="0" collapsed="false">
      <c r="B144" s="156"/>
      <c r="C144" s="156"/>
      <c r="D144" s="156"/>
      <c r="E144" s="157"/>
    </row>
    <row r="145" customFormat="false" ht="15.75" hidden="false" customHeight="false" outlineLevel="0" collapsed="false">
      <c r="B145" s="156"/>
      <c r="C145" s="156"/>
      <c r="D145" s="156"/>
      <c r="E145" s="157"/>
    </row>
    <row r="146" customFormat="false" ht="15.75" hidden="false" customHeight="false" outlineLevel="0" collapsed="false">
      <c r="B146" s="156"/>
      <c r="C146" s="156"/>
      <c r="D146" s="156"/>
      <c r="E146" s="157"/>
    </row>
    <row r="147" customFormat="false" ht="15.75" hidden="false" customHeight="false" outlineLevel="0" collapsed="false">
      <c r="B147" s="156"/>
      <c r="C147" s="156"/>
      <c r="D147" s="156"/>
      <c r="E147" s="157"/>
    </row>
    <row r="148" customFormat="false" ht="15.75" hidden="false" customHeight="false" outlineLevel="0" collapsed="false">
      <c r="B148" s="156"/>
      <c r="C148" s="156"/>
      <c r="D148" s="156"/>
      <c r="E148" s="157"/>
    </row>
    <row r="149" customFormat="false" ht="15.75" hidden="false" customHeight="false" outlineLevel="0" collapsed="false">
      <c r="B149" s="156"/>
      <c r="C149" s="156"/>
      <c r="D149" s="156"/>
      <c r="E149" s="157"/>
    </row>
    <row r="150" customFormat="false" ht="15.75" hidden="false" customHeight="false" outlineLevel="0" collapsed="false">
      <c r="B150" s="156"/>
      <c r="C150" s="156"/>
      <c r="D150" s="156"/>
      <c r="E150" s="157"/>
    </row>
    <row r="151" customFormat="false" ht="15.75" hidden="false" customHeight="false" outlineLevel="0" collapsed="false">
      <c r="B151" s="156"/>
      <c r="C151" s="156"/>
      <c r="D151" s="156"/>
      <c r="E151" s="157"/>
    </row>
    <row r="152" customFormat="false" ht="15.75" hidden="false" customHeight="false" outlineLevel="0" collapsed="false">
      <c r="B152" s="156"/>
      <c r="C152" s="156"/>
      <c r="D152" s="156"/>
      <c r="E152" s="157"/>
    </row>
    <row r="153" customFormat="false" ht="15.75" hidden="false" customHeight="false" outlineLevel="0" collapsed="false">
      <c r="B153" s="156"/>
      <c r="C153" s="156"/>
      <c r="D153" s="156"/>
      <c r="E153" s="157"/>
    </row>
    <row r="154" customFormat="false" ht="15.75" hidden="false" customHeight="false" outlineLevel="0" collapsed="false">
      <c r="B154" s="156"/>
      <c r="C154" s="156"/>
      <c r="D154" s="156"/>
      <c r="E154" s="157"/>
    </row>
    <row r="155" customFormat="false" ht="15.75" hidden="false" customHeight="false" outlineLevel="0" collapsed="false">
      <c r="B155" s="156"/>
      <c r="C155" s="156"/>
      <c r="D155" s="156"/>
      <c r="E155" s="157"/>
    </row>
    <row r="156" customFormat="false" ht="15.75" hidden="false" customHeight="false" outlineLevel="0" collapsed="false">
      <c r="B156" s="156"/>
      <c r="C156" s="156"/>
      <c r="D156" s="156"/>
      <c r="E156" s="157"/>
    </row>
    <row r="157" customFormat="false" ht="15.75" hidden="false" customHeight="false" outlineLevel="0" collapsed="false">
      <c r="B157" s="156"/>
      <c r="C157" s="156"/>
      <c r="D157" s="156"/>
      <c r="E157" s="157"/>
    </row>
    <row r="158" customFormat="false" ht="15.75" hidden="false" customHeight="false" outlineLevel="0" collapsed="false">
      <c r="B158" s="156"/>
      <c r="C158" s="156"/>
      <c r="D158" s="156"/>
      <c r="E158" s="157"/>
    </row>
    <row r="159" customFormat="false" ht="15.75" hidden="false" customHeight="false" outlineLevel="0" collapsed="false">
      <c r="B159" s="156"/>
      <c r="C159" s="156"/>
      <c r="D159" s="156"/>
      <c r="E159" s="157"/>
    </row>
    <row r="160" customFormat="false" ht="15.75" hidden="false" customHeight="false" outlineLevel="0" collapsed="false">
      <c r="B160" s="156"/>
      <c r="C160" s="156"/>
      <c r="D160" s="156"/>
      <c r="E160" s="157"/>
    </row>
    <row r="161" customFormat="false" ht="15.75" hidden="false" customHeight="false" outlineLevel="0" collapsed="false">
      <c r="B161" s="156"/>
      <c r="C161" s="156"/>
      <c r="D161" s="156"/>
      <c r="E161" s="157"/>
    </row>
    <row r="162" customFormat="false" ht="15.75" hidden="false" customHeight="false" outlineLevel="0" collapsed="false">
      <c r="B162" s="156"/>
      <c r="C162" s="156"/>
      <c r="D162" s="156"/>
      <c r="E162" s="157"/>
    </row>
    <row r="163" customFormat="false" ht="15.75" hidden="false" customHeight="false" outlineLevel="0" collapsed="false">
      <c r="B163" s="156"/>
      <c r="C163" s="156"/>
      <c r="D163" s="156"/>
      <c r="E163" s="157"/>
    </row>
    <row r="164" customFormat="false" ht="15.75" hidden="false" customHeight="false" outlineLevel="0" collapsed="false">
      <c r="B164" s="156"/>
      <c r="C164" s="156"/>
      <c r="D164" s="156"/>
      <c r="E164" s="157"/>
    </row>
    <row r="165" customFormat="false" ht="15.75" hidden="false" customHeight="false" outlineLevel="0" collapsed="false">
      <c r="B165" s="156"/>
      <c r="C165" s="156"/>
      <c r="D165" s="156"/>
      <c r="E165" s="157"/>
    </row>
    <row r="166" customFormat="false" ht="15.75" hidden="false" customHeight="false" outlineLevel="0" collapsed="false">
      <c r="B166" s="156"/>
      <c r="C166" s="156"/>
      <c r="D166" s="156"/>
      <c r="E166" s="157"/>
    </row>
    <row r="167" customFormat="false" ht="15.75" hidden="false" customHeight="false" outlineLevel="0" collapsed="false">
      <c r="B167" s="156"/>
      <c r="C167" s="156"/>
      <c r="D167" s="156"/>
      <c r="E167" s="157"/>
    </row>
    <row r="168" customFormat="false" ht="15.75" hidden="false" customHeight="false" outlineLevel="0" collapsed="false">
      <c r="B168" s="156"/>
      <c r="C168" s="156"/>
      <c r="D168" s="156"/>
      <c r="E168" s="157"/>
    </row>
    <row r="169" customFormat="false" ht="15.75" hidden="false" customHeight="false" outlineLevel="0" collapsed="false">
      <c r="B169" s="156"/>
      <c r="C169" s="156"/>
      <c r="D169" s="156"/>
      <c r="E169" s="157"/>
    </row>
    <row r="170" customFormat="false" ht="15.75" hidden="false" customHeight="false" outlineLevel="0" collapsed="false">
      <c r="B170" s="156"/>
      <c r="C170" s="156"/>
      <c r="D170" s="156"/>
      <c r="E170" s="157"/>
    </row>
    <row r="171" customFormat="false" ht="15.75" hidden="false" customHeight="false" outlineLevel="0" collapsed="false">
      <c r="B171" s="156"/>
      <c r="C171" s="156"/>
      <c r="D171" s="156"/>
      <c r="E171" s="157"/>
    </row>
    <row r="172" customFormat="false" ht="15.75" hidden="false" customHeight="false" outlineLevel="0" collapsed="false">
      <c r="B172" s="156"/>
      <c r="C172" s="156"/>
      <c r="D172" s="156"/>
      <c r="E172" s="157"/>
    </row>
    <row r="173" customFormat="false" ht="15.75" hidden="false" customHeight="false" outlineLevel="0" collapsed="false">
      <c r="B173" s="156"/>
      <c r="C173" s="156"/>
      <c r="D173" s="156"/>
      <c r="E173" s="157"/>
    </row>
    <row r="174" customFormat="false" ht="15.75" hidden="false" customHeight="false" outlineLevel="0" collapsed="false">
      <c r="B174" s="156"/>
      <c r="C174" s="156"/>
      <c r="D174" s="156"/>
      <c r="E174" s="157"/>
    </row>
    <row r="175" customFormat="false" ht="15.75" hidden="false" customHeight="false" outlineLevel="0" collapsed="false">
      <c r="B175" s="156"/>
      <c r="C175" s="156"/>
      <c r="D175" s="156"/>
      <c r="E175" s="157"/>
    </row>
    <row r="176" customFormat="false" ht="15.75" hidden="false" customHeight="false" outlineLevel="0" collapsed="false">
      <c r="B176" s="156"/>
      <c r="C176" s="156"/>
      <c r="D176" s="156"/>
      <c r="E176" s="157"/>
    </row>
    <row r="177" customFormat="false" ht="15.75" hidden="false" customHeight="false" outlineLevel="0" collapsed="false">
      <c r="B177" s="156"/>
      <c r="C177" s="156"/>
      <c r="D177" s="156"/>
      <c r="E177" s="157"/>
    </row>
    <row r="178" customFormat="false" ht="15.75" hidden="false" customHeight="false" outlineLevel="0" collapsed="false">
      <c r="B178" s="156"/>
      <c r="C178" s="156"/>
      <c r="D178" s="156"/>
      <c r="E178" s="157"/>
    </row>
    <row r="179" customFormat="false" ht="15.75" hidden="false" customHeight="false" outlineLevel="0" collapsed="false">
      <c r="B179" s="156"/>
      <c r="C179" s="156"/>
      <c r="D179" s="156"/>
      <c r="E179" s="157"/>
    </row>
    <row r="180" customFormat="false" ht="15.75" hidden="false" customHeight="false" outlineLevel="0" collapsed="false">
      <c r="B180" s="156"/>
      <c r="C180" s="156"/>
      <c r="D180" s="156"/>
      <c r="E180" s="157"/>
    </row>
    <row r="181" customFormat="false" ht="15.75" hidden="false" customHeight="false" outlineLevel="0" collapsed="false">
      <c r="B181" s="156"/>
      <c r="C181" s="156"/>
      <c r="D181" s="156"/>
      <c r="E181" s="157"/>
    </row>
    <row r="182" customFormat="false" ht="15.75" hidden="false" customHeight="false" outlineLevel="0" collapsed="false">
      <c r="B182" s="156"/>
      <c r="C182" s="156"/>
      <c r="D182" s="156"/>
      <c r="E182" s="157"/>
    </row>
    <row r="183" customFormat="false" ht="15.75" hidden="false" customHeight="false" outlineLevel="0" collapsed="false">
      <c r="B183" s="156"/>
      <c r="C183" s="156"/>
      <c r="D183" s="156"/>
      <c r="E183" s="157"/>
    </row>
    <row r="184" customFormat="false" ht="15.75" hidden="false" customHeight="false" outlineLevel="0" collapsed="false">
      <c r="B184" s="156"/>
      <c r="C184" s="156"/>
      <c r="D184" s="156"/>
      <c r="E184" s="157"/>
    </row>
    <row r="185" customFormat="false" ht="15.75" hidden="false" customHeight="false" outlineLevel="0" collapsed="false">
      <c r="B185" s="156"/>
      <c r="C185" s="156"/>
      <c r="D185" s="156"/>
      <c r="E185" s="157"/>
    </row>
    <row r="186" customFormat="false" ht="15.75" hidden="false" customHeight="false" outlineLevel="0" collapsed="false">
      <c r="B186" s="156"/>
      <c r="C186" s="156"/>
      <c r="D186" s="156"/>
      <c r="E186" s="157"/>
    </row>
    <row r="187" customFormat="false" ht="15.75" hidden="false" customHeight="false" outlineLevel="0" collapsed="false">
      <c r="B187" s="156"/>
      <c r="C187" s="156"/>
      <c r="D187" s="156"/>
      <c r="E187" s="157"/>
    </row>
    <row r="188" customFormat="false" ht="15.75" hidden="false" customHeight="false" outlineLevel="0" collapsed="false">
      <c r="B188" s="156"/>
      <c r="C188" s="156"/>
      <c r="D188" s="156"/>
      <c r="E188" s="157"/>
    </row>
    <row r="189" customFormat="false" ht="15.75" hidden="false" customHeight="false" outlineLevel="0" collapsed="false">
      <c r="B189" s="156"/>
      <c r="C189" s="156"/>
      <c r="D189" s="156"/>
      <c r="E189" s="157"/>
    </row>
    <row r="190" customFormat="false" ht="15.75" hidden="false" customHeight="false" outlineLevel="0" collapsed="false">
      <c r="B190" s="156"/>
      <c r="C190" s="156"/>
      <c r="D190" s="156"/>
      <c r="E190" s="157"/>
    </row>
    <row r="191" customFormat="false" ht="15.75" hidden="false" customHeight="false" outlineLevel="0" collapsed="false">
      <c r="B191" s="156"/>
      <c r="C191" s="156"/>
      <c r="D191" s="156"/>
      <c r="E191" s="157"/>
    </row>
    <row r="192" customFormat="false" ht="15.75" hidden="false" customHeight="false" outlineLevel="0" collapsed="false">
      <c r="B192" s="156"/>
      <c r="C192" s="156"/>
      <c r="D192" s="156"/>
      <c r="E192" s="157"/>
    </row>
    <row r="193" customFormat="false" ht="15.75" hidden="false" customHeight="false" outlineLevel="0" collapsed="false">
      <c r="B193" s="156"/>
      <c r="C193" s="156"/>
      <c r="D193" s="156"/>
      <c r="E193" s="157"/>
    </row>
    <row r="194" customFormat="false" ht="15.75" hidden="false" customHeight="false" outlineLevel="0" collapsed="false">
      <c r="B194" s="156"/>
      <c r="C194" s="156"/>
      <c r="D194" s="156"/>
      <c r="E194" s="157"/>
    </row>
    <row r="195" customFormat="false" ht="15.75" hidden="false" customHeight="false" outlineLevel="0" collapsed="false">
      <c r="B195" s="156"/>
      <c r="C195" s="156"/>
      <c r="D195" s="156"/>
      <c r="E195" s="157"/>
    </row>
    <row r="196" customFormat="false" ht="15.75" hidden="false" customHeight="false" outlineLevel="0" collapsed="false">
      <c r="B196" s="156"/>
      <c r="C196" s="156"/>
      <c r="D196" s="156"/>
      <c r="E196" s="157"/>
    </row>
    <row r="197" customFormat="false" ht="15.75" hidden="false" customHeight="false" outlineLevel="0" collapsed="false">
      <c r="B197" s="156"/>
      <c r="C197" s="156"/>
      <c r="D197" s="156"/>
      <c r="E197" s="157"/>
    </row>
    <row r="198" customFormat="false" ht="15.75" hidden="false" customHeight="false" outlineLevel="0" collapsed="false">
      <c r="B198" s="156"/>
      <c r="C198" s="156"/>
      <c r="D198" s="156"/>
      <c r="E198" s="157"/>
    </row>
    <row r="199" customFormat="false" ht="15.75" hidden="false" customHeight="false" outlineLevel="0" collapsed="false">
      <c r="B199" s="156"/>
      <c r="C199" s="156"/>
      <c r="D199" s="156"/>
      <c r="E199" s="157"/>
    </row>
    <row r="200" customFormat="false" ht="15.75" hidden="false" customHeight="false" outlineLevel="0" collapsed="false">
      <c r="B200" s="156"/>
      <c r="C200" s="156"/>
      <c r="D200" s="156"/>
      <c r="E200" s="157"/>
    </row>
    <row r="201" customFormat="false" ht="15.75" hidden="false" customHeight="false" outlineLevel="0" collapsed="false">
      <c r="B201" s="156"/>
      <c r="C201" s="156"/>
      <c r="D201" s="156"/>
      <c r="E201" s="157"/>
    </row>
    <row r="202" customFormat="false" ht="15.75" hidden="false" customHeight="false" outlineLevel="0" collapsed="false">
      <c r="B202" s="156"/>
      <c r="C202" s="156"/>
      <c r="D202" s="156"/>
      <c r="E202" s="157"/>
    </row>
    <row r="203" customFormat="false" ht="15.75" hidden="false" customHeight="false" outlineLevel="0" collapsed="false">
      <c r="B203" s="156"/>
      <c r="C203" s="156"/>
      <c r="D203" s="156"/>
      <c r="E203" s="157"/>
    </row>
    <row r="204" customFormat="false" ht="15.75" hidden="false" customHeight="false" outlineLevel="0" collapsed="false">
      <c r="B204" s="156"/>
      <c r="C204" s="156"/>
      <c r="D204" s="156"/>
      <c r="E204" s="157"/>
    </row>
    <row r="205" customFormat="false" ht="15.75" hidden="false" customHeight="false" outlineLevel="0" collapsed="false">
      <c r="B205" s="156"/>
      <c r="C205" s="156"/>
      <c r="D205" s="156"/>
      <c r="E205" s="157"/>
    </row>
    <row r="206" customFormat="false" ht="15.75" hidden="false" customHeight="false" outlineLevel="0" collapsed="false">
      <c r="B206" s="156"/>
      <c r="C206" s="156"/>
      <c r="D206" s="156"/>
      <c r="E206" s="157"/>
    </row>
    <row r="207" customFormat="false" ht="15.75" hidden="false" customHeight="false" outlineLevel="0" collapsed="false">
      <c r="B207" s="156"/>
      <c r="C207" s="156"/>
      <c r="D207" s="156"/>
      <c r="E207" s="157"/>
    </row>
    <row r="208" customFormat="false" ht="15.75" hidden="false" customHeight="false" outlineLevel="0" collapsed="false">
      <c r="B208" s="156"/>
      <c r="C208" s="156"/>
      <c r="D208" s="156"/>
      <c r="E208" s="157"/>
    </row>
    <row r="209" customFormat="false" ht="15.75" hidden="false" customHeight="false" outlineLevel="0" collapsed="false">
      <c r="B209" s="156"/>
      <c r="C209" s="156"/>
      <c r="D209" s="156"/>
      <c r="E209" s="157"/>
    </row>
    <row r="210" customFormat="false" ht="15.75" hidden="false" customHeight="false" outlineLevel="0" collapsed="false">
      <c r="B210" s="156"/>
      <c r="C210" s="156"/>
      <c r="D210" s="156"/>
      <c r="E210" s="157"/>
    </row>
    <row r="211" customFormat="false" ht="15.75" hidden="false" customHeight="false" outlineLevel="0" collapsed="false">
      <c r="B211" s="156"/>
      <c r="C211" s="156"/>
      <c r="D211" s="156"/>
      <c r="E211" s="157"/>
    </row>
    <row r="212" customFormat="false" ht="15.75" hidden="false" customHeight="false" outlineLevel="0" collapsed="false">
      <c r="B212" s="156"/>
      <c r="C212" s="156"/>
      <c r="D212" s="156"/>
      <c r="E212" s="157"/>
    </row>
    <row r="213" customFormat="false" ht="15.75" hidden="false" customHeight="false" outlineLevel="0" collapsed="false">
      <c r="B213" s="156"/>
      <c r="C213" s="156"/>
      <c r="D213" s="156"/>
      <c r="E213" s="157"/>
    </row>
    <row r="214" customFormat="false" ht="15.75" hidden="false" customHeight="false" outlineLevel="0" collapsed="false">
      <c r="B214" s="156"/>
      <c r="C214" s="156"/>
      <c r="D214" s="156"/>
      <c r="E214" s="157"/>
    </row>
    <row r="215" customFormat="false" ht="15.75" hidden="false" customHeight="false" outlineLevel="0" collapsed="false">
      <c r="B215" s="156"/>
      <c r="C215" s="156"/>
      <c r="D215" s="156"/>
      <c r="E215" s="157"/>
    </row>
    <row r="216" customFormat="false" ht="15.75" hidden="false" customHeight="false" outlineLevel="0" collapsed="false">
      <c r="B216" s="156"/>
      <c r="C216" s="156"/>
      <c r="D216" s="156"/>
      <c r="E216" s="157"/>
    </row>
    <row r="217" customFormat="false" ht="15.75" hidden="false" customHeight="false" outlineLevel="0" collapsed="false">
      <c r="B217" s="156"/>
      <c r="C217" s="156"/>
      <c r="D217" s="156"/>
      <c r="E217" s="157"/>
    </row>
    <row r="218" customFormat="false" ht="15.75" hidden="false" customHeight="false" outlineLevel="0" collapsed="false">
      <c r="B218" s="156"/>
      <c r="C218" s="156"/>
      <c r="D218" s="156"/>
      <c r="E218" s="157"/>
    </row>
    <row r="219" customFormat="false" ht="15.75" hidden="false" customHeight="false" outlineLevel="0" collapsed="false">
      <c r="B219" s="156"/>
      <c r="C219" s="156"/>
      <c r="D219" s="156"/>
      <c r="E219" s="157"/>
    </row>
    <row r="220" customFormat="false" ht="15.75" hidden="false" customHeight="false" outlineLevel="0" collapsed="false">
      <c r="B220" s="156"/>
      <c r="C220" s="156"/>
      <c r="D220" s="156"/>
      <c r="E220" s="157"/>
    </row>
    <row r="221" customFormat="false" ht="15.75" hidden="false" customHeight="false" outlineLevel="0" collapsed="false">
      <c r="B221" s="156"/>
      <c r="C221" s="156"/>
      <c r="D221" s="156"/>
      <c r="E221" s="157"/>
    </row>
    <row r="222" customFormat="false" ht="15.75" hidden="false" customHeight="false" outlineLevel="0" collapsed="false">
      <c r="B222" s="156"/>
      <c r="C222" s="156"/>
      <c r="D222" s="156"/>
      <c r="E222" s="157"/>
    </row>
    <row r="223" customFormat="false" ht="15.75" hidden="false" customHeight="false" outlineLevel="0" collapsed="false">
      <c r="B223" s="156"/>
      <c r="C223" s="156"/>
      <c r="D223" s="156"/>
      <c r="E223" s="157"/>
    </row>
    <row r="224" customFormat="false" ht="15.75" hidden="false" customHeight="false" outlineLevel="0" collapsed="false">
      <c r="B224" s="156"/>
      <c r="C224" s="156"/>
      <c r="D224" s="156"/>
      <c r="E224" s="157"/>
    </row>
    <row r="225" customFormat="false" ht="15.75" hidden="false" customHeight="false" outlineLevel="0" collapsed="false">
      <c r="B225" s="156"/>
      <c r="C225" s="156"/>
      <c r="D225" s="156"/>
      <c r="E225" s="157"/>
    </row>
    <row r="226" customFormat="false" ht="15.75" hidden="false" customHeight="false" outlineLevel="0" collapsed="false">
      <c r="B226" s="156"/>
      <c r="C226" s="156"/>
      <c r="D226" s="156"/>
      <c r="E226" s="157"/>
    </row>
    <row r="227" customFormat="false" ht="15.75" hidden="false" customHeight="false" outlineLevel="0" collapsed="false">
      <c r="B227" s="156"/>
      <c r="C227" s="156"/>
      <c r="D227" s="156"/>
      <c r="E227" s="157"/>
    </row>
    <row r="228" customFormat="false" ht="15.75" hidden="false" customHeight="false" outlineLevel="0" collapsed="false">
      <c r="B228" s="156"/>
      <c r="C228" s="156"/>
      <c r="D228" s="156"/>
      <c r="E228" s="157"/>
    </row>
    <row r="229" customFormat="false" ht="15.75" hidden="false" customHeight="false" outlineLevel="0" collapsed="false">
      <c r="B229" s="156"/>
      <c r="C229" s="156"/>
      <c r="D229" s="156"/>
      <c r="E229" s="157"/>
    </row>
    <row r="230" customFormat="false" ht="15.75" hidden="false" customHeight="false" outlineLevel="0" collapsed="false">
      <c r="B230" s="156"/>
      <c r="C230" s="156"/>
      <c r="D230" s="156"/>
      <c r="E230" s="157"/>
    </row>
    <row r="231" customFormat="false" ht="15.75" hidden="false" customHeight="false" outlineLevel="0" collapsed="false">
      <c r="B231" s="156"/>
      <c r="C231" s="156"/>
      <c r="D231" s="156"/>
      <c r="E231" s="157"/>
    </row>
    <row r="232" customFormat="false" ht="15.75" hidden="false" customHeight="false" outlineLevel="0" collapsed="false">
      <c r="B232" s="156"/>
      <c r="C232" s="156"/>
      <c r="D232" s="156"/>
      <c r="E232" s="157"/>
    </row>
    <row r="233" customFormat="false" ht="15.75" hidden="false" customHeight="false" outlineLevel="0" collapsed="false">
      <c r="B233" s="156"/>
      <c r="C233" s="156"/>
      <c r="D233" s="156"/>
      <c r="E233" s="157"/>
    </row>
    <row r="234" customFormat="false" ht="15.75" hidden="false" customHeight="false" outlineLevel="0" collapsed="false">
      <c r="B234" s="156"/>
      <c r="C234" s="156"/>
      <c r="D234" s="156"/>
      <c r="E234" s="157"/>
    </row>
    <row r="235" customFormat="false" ht="15.75" hidden="false" customHeight="false" outlineLevel="0" collapsed="false">
      <c r="B235" s="156"/>
      <c r="C235" s="156"/>
      <c r="D235" s="156"/>
      <c r="E235" s="157"/>
    </row>
    <row r="236" customFormat="false" ht="15.75" hidden="false" customHeight="false" outlineLevel="0" collapsed="false">
      <c r="B236" s="156"/>
      <c r="C236" s="156"/>
      <c r="D236" s="156"/>
      <c r="E236" s="157"/>
    </row>
    <row r="237" customFormat="false" ht="15.75" hidden="false" customHeight="false" outlineLevel="0" collapsed="false">
      <c r="B237" s="156"/>
      <c r="C237" s="156"/>
      <c r="D237" s="156"/>
      <c r="E237" s="157"/>
    </row>
    <row r="238" customFormat="false" ht="15.75" hidden="false" customHeight="false" outlineLevel="0" collapsed="false">
      <c r="B238" s="156"/>
      <c r="C238" s="156"/>
      <c r="D238" s="156"/>
      <c r="E238" s="157"/>
    </row>
    <row r="239" customFormat="false" ht="15.75" hidden="false" customHeight="false" outlineLevel="0" collapsed="false">
      <c r="B239" s="156"/>
      <c r="C239" s="156"/>
      <c r="D239" s="156"/>
      <c r="E239" s="157"/>
    </row>
    <row r="240" customFormat="false" ht="15.75" hidden="false" customHeight="false" outlineLevel="0" collapsed="false">
      <c r="B240" s="156"/>
      <c r="C240" s="156"/>
      <c r="D240" s="156"/>
      <c r="E240" s="157"/>
    </row>
    <row r="241" customFormat="false" ht="15.75" hidden="false" customHeight="false" outlineLevel="0" collapsed="false">
      <c r="B241" s="156"/>
      <c r="C241" s="156"/>
      <c r="D241" s="156"/>
      <c r="E241" s="157"/>
    </row>
    <row r="242" customFormat="false" ht="15.75" hidden="false" customHeight="false" outlineLevel="0" collapsed="false">
      <c r="B242" s="156"/>
      <c r="C242" s="156"/>
      <c r="D242" s="156"/>
      <c r="E242" s="157"/>
    </row>
    <row r="243" customFormat="false" ht="15.75" hidden="false" customHeight="false" outlineLevel="0" collapsed="false">
      <c r="B243" s="156"/>
      <c r="C243" s="156"/>
      <c r="D243" s="156"/>
      <c r="E243" s="157"/>
    </row>
    <row r="244" customFormat="false" ht="15.75" hidden="false" customHeight="false" outlineLevel="0" collapsed="false">
      <c r="B244" s="156"/>
      <c r="C244" s="156"/>
      <c r="D244" s="156"/>
      <c r="E244" s="157"/>
    </row>
    <row r="245" customFormat="false" ht="15.75" hidden="false" customHeight="false" outlineLevel="0" collapsed="false">
      <c r="B245" s="156"/>
      <c r="C245" s="156"/>
      <c r="D245" s="156"/>
      <c r="E245" s="157"/>
    </row>
    <row r="246" customFormat="false" ht="15.75" hidden="false" customHeight="false" outlineLevel="0" collapsed="false">
      <c r="B246" s="156"/>
      <c r="C246" s="156"/>
      <c r="D246" s="156"/>
      <c r="E246" s="157"/>
    </row>
    <row r="247" customFormat="false" ht="15.75" hidden="false" customHeight="false" outlineLevel="0" collapsed="false">
      <c r="B247" s="156"/>
      <c r="C247" s="156"/>
      <c r="D247" s="156"/>
      <c r="E247" s="157"/>
    </row>
    <row r="248" customFormat="false" ht="15.75" hidden="false" customHeight="false" outlineLevel="0" collapsed="false">
      <c r="B248" s="156"/>
      <c r="C248" s="156"/>
      <c r="D248" s="156"/>
      <c r="E248" s="157"/>
    </row>
    <row r="249" customFormat="false" ht="15.75" hidden="false" customHeight="false" outlineLevel="0" collapsed="false">
      <c r="B249" s="156"/>
      <c r="C249" s="156"/>
      <c r="D249" s="156"/>
      <c r="E249" s="157"/>
    </row>
    <row r="250" customFormat="false" ht="15.75" hidden="false" customHeight="false" outlineLevel="0" collapsed="false">
      <c r="B250" s="156"/>
      <c r="C250" s="156"/>
      <c r="D250" s="156"/>
      <c r="E250" s="157"/>
    </row>
    <row r="251" customFormat="false" ht="15.75" hidden="false" customHeight="false" outlineLevel="0" collapsed="false">
      <c r="B251" s="156"/>
      <c r="C251" s="156"/>
      <c r="D251" s="156"/>
      <c r="E251" s="157"/>
    </row>
    <row r="252" customFormat="false" ht="15.75" hidden="false" customHeight="false" outlineLevel="0" collapsed="false">
      <c r="B252" s="156"/>
      <c r="C252" s="156"/>
      <c r="D252" s="156"/>
      <c r="E252" s="157"/>
    </row>
    <row r="253" customFormat="false" ht="15.75" hidden="false" customHeight="false" outlineLevel="0" collapsed="false">
      <c r="B253" s="156"/>
      <c r="C253" s="156"/>
      <c r="D253" s="156"/>
      <c r="E253" s="157"/>
    </row>
    <row r="254" customFormat="false" ht="15.75" hidden="false" customHeight="false" outlineLevel="0" collapsed="false">
      <c r="B254" s="156"/>
      <c r="C254" s="156"/>
      <c r="D254" s="156"/>
      <c r="E254" s="157"/>
    </row>
    <row r="255" customFormat="false" ht="15.75" hidden="false" customHeight="false" outlineLevel="0" collapsed="false">
      <c r="B255" s="156"/>
      <c r="C255" s="156"/>
      <c r="D255" s="156"/>
      <c r="E255" s="157"/>
    </row>
    <row r="256" customFormat="false" ht="15.75" hidden="false" customHeight="false" outlineLevel="0" collapsed="false">
      <c r="B256" s="156"/>
      <c r="C256" s="156"/>
      <c r="D256" s="156"/>
      <c r="E256" s="157"/>
    </row>
    <row r="257" customFormat="false" ht="15.75" hidden="false" customHeight="false" outlineLevel="0" collapsed="false">
      <c r="B257" s="156"/>
      <c r="C257" s="156"/>
      <c r="D257" s="156"/>
      <c r="E257" s="157"/>
    </row>
    <row r="258" customFormat="false" ht="15.75" hidden="false" customHeight="false" outlineLevel="0" collapsed="false">
      <c r="B258" s="156"/>
      <c r="C258" s="156"/>
      <c r="D258" s="156"/>
      <c r="E258" s="157"/>
    </row>
    <row r="259" customFormat="false" ht="15.75" hidden="false" customHeight="false" outlineLevel="0" collapsed="false">
      <c r="B259" s="156"/>
      <c r="C259" s="156"/>
      <c r="D259" s="156"/>
      <c r="E259" s="157"/>
    </row>
    <row r="260" customFormat="false" ht="15.75" hidden="false" customHeight="false" outlineLevel="0" collapsed="false">
      <c r="B260" s="156"/>
      <c r="C260" s="156"/>
      <c r="D260" s="156"/>
      <c r="E260" s="157"/>
    </row>
    <row r="261" customFormat="false" ht="15.75" hidden="false" customHeight="false" outlineLevel="0" collapsed="false">
      <c r="B261" s="156"/>
      <c r="C261" s="156"/>
      <c r="D261" s="156"/>
      <c r="E261" s="157"/>
    </row>
    <row r="262" customFormat="false" ht="15.75" hidden="false" customHeight="false" outlineLevel="0" collapsed="false">
      <c r="B262" s="156"/>
      <c r="C262" s="156"/>
      <c r="D262" s="156"/>
      <c r="E262" s="157"/>
    </row>
    <row r="263" customFormat="false" ht="15.75" hidden="false" customHeight="false" outlineLevel="0" collapsed="false">
      <c r="B263" s="156"/>
      <c r="C263" s="156"/>
      <c r="D263" s="156"/>
      <c r="E263" s="157"/>
    </row>
    <row r="264" customFormat="false" ht="15.75" hidden="false" customHeight="false" outlineLevel="0" collapsed="false">
      <c r="B264" s="156"/>
      <c r="C264" s="156"/>
      <c r="D264" s="156"/>
      <c r="E264" s="157"/>
    </row>
    <row r="265" customFormat="false" ht="15.75" hidden="false" customHeight="false" outlineLevel="0" collapsed="false">
      <c r="B265" s="156"/>
      <c r="C265" s="156"/>
      <c r="D265" s="156"/>
      <c r="E265" s="157"/>
    </row>
    <row r="266" customFormat="false" ht="15.75" hidden="false" customHeight="false" outlineLevel="0" collapsed="false">
      <c r="B266" s="156"/>
      <c r="C266" s="156"/>
      <c r="D266" s="156"/>
      <c r="E266" s="157"/>
    </row>
    <row r="267" customFormat="false" ht="15.75" hidden="false" customHeight="false" outlineLevel="0" collapsed="false">
      <c r="B267" s="156"/>
      <c r="C267" s="156"/>
      <c r="D267" s="156"/>
      <c r="E267" s="157"/>
    </row>
    <row r="268" customFormat="false" ht="15.75" hidden="false" customHeight="false" outlineLevel="0" collapsed="false">
      <c r="B268" s="156"/>
      <c r="C268" s="156"/>
      <c r="D268" s="156"/>
      <c r="E268" s="157"/>
    </row>
    <row r="269" customFormat="false" ht="15.75" hidden="false" customHeight="false" outlineLevel="0" collapsed="false">
      <c r="B269" s="156"/>
      <c r="C269" s="156"/>
      <c r="D269" s="156"/>
      <c r="E269" s="157"/>
    </row>
    <row r="270" customFormat="false" ht="15.75" hidden="false" customHeight="false" outlineLevel="0" collapsed="false">
      <c r="B270" s="156"/>
      <c r="C270" s="156"/>
      <c r="D270" s="156"/>
      <c r="E270" s="157"/>
    </row>
    <row r="271" customFormat="false" ht="15.75" hidden="false" customHeight="false" outlineLevel="0" collapsed="false">
      <c r="B271" s="156"/>
      <c r="C271" s="156"/>
      <c r="D271" s="156"/>
      <c r="E271" s="157"/>
    </row>
    <row r="272" customFormat="false" ht="15.75" hidden="false" customHeight="false" outlineLevel="0" collapsed="false">
      <c r="B272" s="156"/>
      <c r="C272" s="156"/>
      <c r="D272" s="156"/>
      <c r="E272" s="157"/>
    </row>
    <row r="273" customFormat="false" ht="15.75" hidden="false" customHeight="false" outlineLevel="0" collapsed="false">
      <c r="B273" s="156"/>
      <c r="C273" s="156"/>
      <c r="D273" s="156"/>
      <c r="E273" s="157"/>
    </row>
    <row r="274" customFormat="false" ht="15.75" hidden="false" customHeight="false" outlineLevel="0" collapsed="false">
      <c r="B274" s="156"/>
      <c r="C274" s="156"/>
      <c r="D274" s="156"/>
      <c r="E274" s="157"/>
    </row>
    <row r="275" customFormat="false" ht="15.75" hidden="false" customHeight="false" outlineLevel="0" collapsed="false">
      <c r="B275" s="156"/>
      <c r="C275" s="156"/>
      <c r="D275" s="156"/>
      <c r="E275" s="157"/>
    </row>
    <row r="276" customFormat="false" ht="15.75" hidden="false" customHeight="false" outlineLevel="0" collapsed="false">
      <c r="B276" s="156"/>
      <c r="C276" s="156"/>
      <c r="D276" s="156"/>
      <c r="E276" s="157"/>
    </row>
    <row r="277" customFormat="false" ht="15.75" hidden="false" customHeight="false" outlineLevel="0" collapsed="false">
      <c r="B277" s="156"/>
      <c r="C277" s="156"/>
      <c r="D277" s="156"/>
      <c r="E277" s="157"/>
    </row>
    <row r="278" customFormat="false" ht="15.75" hidden="false" customHeight="false" outlineLevel="0" collapsed="false">
      <c r="B278" s="156"/>
      <c r="C278" s="156"/>
      <c r="D278" s="156"/>
      <c r="E278" s="157"/>
    </row>
    <row r="279" customFormat="false" ht="15.75" hidden="false" customHeight="false" outlineLevel="0" collapsed="false">
      <c r="B279" s="156"/>
      <c r="C279" s="156"/>
      <c r="D279" s="156"/>
      <c r="E279" s="157"/>
    </row>
    <row r="280" customFormat="false" ht="15.75" hidden="false" customHeight="false" outlineLevel="0" collapsed="false">
      <c r="B280" s="156"/>
      <c r="C280" s="156"/>
      <c r="D280" s="156"/>
      <c r="E280" s="157"/>
    </row>
    <row r="281" customFormat="false" ht="15.75" hidden="false" customHeight="false" outlineLevel="0" collapsed="false">
      <c r="B281" s="156"/>
      <c r="C281" s="156"/>
      <c r="D281" s="156"/>
      <c r="E281" s="157"/>
    </row>
    <row r="282" customFormat="false" ht="15.75" hidden="false" customHeight="false" outlineLevel="0" collapsed="false">
      <c r="B282" s="156"/>
      <c r="C282" s="156"/>
      <c r="D282" s="156"/>
      <c r="E282" s="157"/>
    </row>
    <row r="283" customFormat="false" ht="15.75" hidden="false" customHeight="false" outlineLevel="0" collapsed="false">
      <c r="B283" s="156"/>
      <c r="C283" s="156"/>
      <c r="D283" s="156"/>
      <c r="E283" s="157"/>
    </row>
    <row r="284" customFormat="false" ht="15.75" hidden="false" customHeight="false" outlineLevel="0" collapsed="false">
      <c r="B284" s="156"/>
      <c r="C284" s="156"/>
      <c r="D284" s="156"/>
      <c r="E284" s="157"/>
    </row>
    <row r="285" customFormat="false" ht="15.75" hidden="false" customHeight="false" outlineLevel="0" collapsed="false">
      <c r="B285" s="156"/>
      <c r="C285" s="156"/>
      <c r="D285" s="156"/>
      <c r="E285" s="157"/>
    </row>
    <row r="286" customFormat="false" ht="15.75" hidden="false" customHeight="false" outlineLevel="0" collapsed="false">
      <c r="B286" s="156"/>
      <c r="C286" s="156"/>
      <c r="D286" s="156"/>
      <c r="E286" s="157"/>
    </row>
    <row r="287" customFormat="false" ht="15.75" hidden="false" customHeight="false" outlineLevel="0" collapsed="false">
      <c r="B287" s="156"/>
      <c r="C287" s="156"/>
      <c r="D287" s="156"/>
      <c r="E287" s="157"/>
    </row>
    <row r="288" customFormat="false" ht="15.75" hidden="false" customHeight="false" outlineLevel="0" collapsed="false">
      <c r="B288" s="156"/>
      <c r="C288" s="156"/>
      <c r="D288" s="156"/>
      <c r="E288" s="157"/>
    </row>
    <row r="289" customFormat="false" ht="15.75" hidden="false" customHeight="false" outlineLevel="0" collapsed="false">
      <c r="B289" s="156"/>
      <c r="C289" s="156"/>
      <c r="D289" s="156"/>
      <c r="E289" s="157"/>
    </row>
    <row r="290" customFormat="false" ht="15.75" hidden="false" customHeight="false" outlineLevel="0" collapsed="false">
      <c r="B290" s="156"/>
      <c r="C290" s="156"/>
      <c r="D290" s="156"/>
      <c r="E290" s="157"/>
    </row>
    <row r="291" customFormat="false" ht="15.75" hidden="false" customHeight="false" outlineLevel="0" collapsed="false">
      <c r="B291" s="156"/>
      <c r="C291" s="156"/>
      <c r="D291" s="156"/>
      <c r="E291" s="157"/>
    </row>
    <row r="292" customFormat="false" ht="15.75" hidden="false" customHeight="false" outlineLevel="0" collapsed="false">
      <c r="B292" s="156"/>
      <c r="C292" s="156"/>
      <c r="D292" s="156"/>
      <c r="E292" s="157"/>
    </row>
    <row r="293" customFormat="false" ht="15.75" hidden="false" customHeight="false" outlineLevel="0" collapsed="false">
      <c r="B293" s="156"/>
      <c r="C293" s="156"/>
      <c r="D293" s="156"/>
      <c r="E293" s="157"/>
    </row>
    <row r="294" customFormat="false" ht="15.75" hidden="false" customHeight="false" outlineLevel="0" collapsed="false">
      <c r="B294" s="156"/>
      <c r="C294" s="156"/>
      <c r="D294" s="156"/>
      <c r="E294" s="157"/>
    </row>
    <row r="295" customFormat="false" ht="15.75" hidden="false" customHeight="false" outlineLevel="0" collapsed="false">
      <c r="B295" s="156"/>
      <c r="C295" s="156"/>
      <c r="D295" s="156"/>
      <c r="E295" s="157"/>
    </row>
    <row r="296" customFormat="false" ht="15.75" hidden="false" customHeight="false" outlineLevel="0" collapsed="false">
      <c r="B296" s="156"/>
      <c r="C296" s="156"/>
      <c r="D296" s="156"/>
      <c r="E296" s="157"/>
    </row>
    <row r="297" customFormat="false" ht="15.75" hidden="false" customHeight="false" outlineLevel="0" collapsed="false">
      <c r="B297" s="156"/>
      <c r="C297" s="156"/>
      <c r="D297" s="156"/>
      <c r="E297" s="157"/>
    </row>
    <row r="298" customFormat="false" ht="15.75" hidden="false" customHeight="false" outlineLevel="0" collapsed="false">
      <c r="B298" s="156"/>
      <c r="C298" s="156"/>
      <c r="D298" s="156"/>
      <c r="E298" s="157"/>
    </row>
    <row r="299" customFormat="false" ht="15.75" hidden="false" customHeight="false" outlineLevel="0" collapsed="false">
      <c r="B299" s="156"/>
      <c r="C299" s="156"/>
      <c r="D299" s="156"/>
      <c r="E299" s="157"/>
    </row>
    <row r="300" customFormat="false" ht="15.75" hidden="false" customHeight="false" outlineLevel="0" collapsed="false">
      <c r="B300" s="156"/>
      <c r="C300" s="156"/>
      <c r="D300" s="156"/>
      <c r="E300" s="157"/>
    </row>
    <row r="301" customFormat="false" ht="15.75" hidden="false" customHeight="false" outlineLevel="0" collapsed="false">
      <c r="B301" s="156"/>
      <c r="C301" s="156"/>
      <c r="D301" s="156"/>
      <c r="E301" s="157"/>
    </row>
    <row r="302" customFormat="false" ht="15.75" hidden="false" customHeight="false" outlineLevel="0" collapsed="false">
      <c r="B302" s="156"/>
      <c r="C302" s="156"/>
      <c r="D302" s="156"/>
      <c r="E302" s="157"/>
    </row>
    <row r="303" customFormat="false" ht="15.75" hidden="false" customHeight="false" outlineLevel="0" collapsed="false">
      <c r="B303" s="156"/>
      <c r="C303" s="156"/>
      <c r="D303" s="156"/>
      <c r="E303" s="157"/>
    </row>
    <row r="304" customFormat="false" ht="15.75" hidden="false" customHeight="false" outlineLevel="0" collapsed="false">
      <c r="B304" s="156"/>
      <c r="C304" s="156"/>
      <c r="D304" s="156"/>
      <c r="E304" s="157"/>
    </row>
    <row r="305" customFormat="false" ht="15.75" hidden="false" customHeight="false" outlineLevel="0" collapsed="false">
      <c r="B305" s="156"/>
      <c r="C305" s="156"/>
      <c r="D305" s="156"/>
      <c r="E305" s="157"/>
    </row>
    <row r="306" customFormat="false" ht="15.75" hidden="false" customHeight="false" outlineLevel="0" collapsed="false">
      <c r="B306" s="156"/>
      <c r="C306" s="156"/>
      <c r="D306" s="156"/>
      <c r="E306" s="157"/>
    </row>
    <row r="307" customFormat="false" ht="15.75" hidden="false" customHeight="false" outlineLevel="0" collapsed="false">
      <c r="B307" s="156"/>
      <c r="C307" s="156"/>
      <c r="D307" s="156"/>
      <c r="E307" s="157"/>
    </row>
    <row r="308" customFormat="false" ht="15.75" hidden="false" customHeight="false" outlineLevel="0" collapsed="false">
      <c r="B308" s="156"/>
      <c r="C308" s="156"/>
      <c r="D308" s="156"/>
      <c r="E308" s="157"/>
    </row>
    <row r="309" customFormat="false" ht="15.75" hidden="false" customHeight="false" outlineLevel="0" collapsed="false">
      <c r="B309" s="156"/>
      <c r="C309" s="156"/>
      <c r="D309" s="156"/>
      <c r="E309" s="157"/>
    </row>
    <row r="310" customFormat="false" ht="15.75" hidden="false" customHeight="false" outlineLevel="0" collapsed="false">
      <c r="B310" s="156"/>
      <c r="C310" s="156"/>
      <c r="D310" s="156"/>
      <c r="E310" s="157"/>
    </row>
    <row r="311" customFormat="false" ht="15.75" hidden="false" customHeight="false" outlineLevel="0" collapsed="false">
      <c r="B311" s="156"/>
      <c r="C311" s="156"/>
      <c r="D311" s="156"/>
      <c r="E311" s="157"/>
    </row>
    <row r="312" customFormat="false" ht="15.75" hidden="false" customHeight="false" outlineLevel="0" collapsed="false">
      <c r="B312" s="156"/>
      <c r="C312" s="156"/>
      <c r="D312" s="156"/>
      <c r="E312" s="157"/>
    </row>
    <row r="313" customFormat="false" ht="15.75" hidden="false" customHeight="false" outlineLevel="0" collapsed="false">
      <c r="B313" s="156"/>
      <c r="C313" s="156"/>
      <c r="D313" s="156"/>
      <c r="E313" s="157"/>
    </row>
    <row r="314" customFormat="false" ht="15.75" hidden="false" customHeight="false" outlineLevel="0" collapsed="false">
      <c r="B314" s="156"/>
      <c r="C314" s="156"/>
      <c r="D314" s="156"/>
      <c r="E314" s="157"/>
    </row>
    <row r="315" customFormat="false" ht="15.75" hidden="false" customHeight="false" outlineLevel="0" collapsed="false">
      <c r="B315" s="156"/>
      <c r="C315" s="156"/>
      <c r="D315" s="156"/>
      <c r="E315" s="157"/>
    </row>
    <row r="316" customFormat="false" ht="15.75" hidden="false" customHeight="false" outlineLevel="0" collapsed="false">
      <c r="B316" s="156"/>
      <c r="C316" s="156"/>
      <c r="D316" s="156"/>
      <c r="E316" s="157"/>
    </row>
    <row r="317" customFormat="false" ht="15.75" hidden="false" customHeight="false" outlineLevel="0" collapsed="false">
      <c r="B317" s="156"/>
      <c r="C317" s="156"/>
      <c r="D317" s="156"/>
      <c r="E317" s="157"/>
    </row>
    <row r="318" customFormat="false" ht="15.75" hidden="false" customHeight="false" outlineLevel="0" collapsed="false">
      <c r="B318" s="156"/>
      <c r="C318" s="156"/>
      <c r="D318" s="156"/>
      <c r="E318" s="157"/>
    </row>
    <row r="319" customFormat="false" ht="15.75" hidden="false" customHeight="false" outlineLevel="0" collapsed="false">
      <c r="B319" s="156"/>
      <c r="C319" s="156"/>
      <c r="D319" s="156"/>
      <c r="E319" s="157"/>
    </row>
    <row r="320" customFormat="false" ht="15.75" hidden="false" customHeight="false" outlineLevel="0" collapsed="false">
      <c r="B320" s="156"/>
      <c r="C320" s="156"/>
      <c r="D320" s="156"/>
      <c r="E320" s="157"/>
    </row>
    <row r="321" customFormat="false" ht="15.75" hidden="false" customHeight="false" outlineLevel="0" collapsed="false">
      <c r="B321" s="156"/>
      <c r="C321" s="156"/>
      <c r="D321" s="156"/>
      <c r="E321" s="157"/>
    </row>
    <row r="322" customFormat="false" ht="15.75" hidden="false" customHeight="false" outlineLevel="0" collapsed="false">
      <c r="B322" s="156"/>
      <c r="C322" s="156"/>
      <c r="D322" s="156"/>
      <c r="E322" s="157"/>
    </row>
    <row r="323" customFormat="false" ht="15.75" hidden="false" customHeight="false" outlineLevel="0" collapsed="false">
      <c r="B323" s="156"/>
      <c r="C323" s="156"/>
      <c r="D323" s="156"/>
      <c r="E323" s="157"/>
    </row>
    <row r="324" customFormat="false" ht="15.75" hidden="false" customHeight="false" outlineLevel="0" collapsed="false">
      <c r="B324" s="156"/>
      <c r="C324" s="156"/>
      <c r="D324" s="156"/>
      <c r="E324" s="157"/>
    </row>
    <row r="325" customFormat="false" ht="15.75" hidden="false" customHeight="false" outlineLevel="0" collapsed="false">
      <c r="B325" s="156"/>
      <c r="C325" s="156"/>
      <c r="D325" s="156"/>
      <c r="E325" s="157"/>
    </row>
    <row r="326" customFormat="false" ht="15.75" hidden="false" customHeight="false" outlineLevel="0" collapsed="false">
      <c r="B326" s="156"/>
      <c r="C326" s="156"/>
      <c r="D326" s="156"/>
      <c r="E326" s="157"/>
    </row>
    <row r="327" customFormat="false" ht="15.75" hidden="false" customHeight="false" outlineLevel="0" collapsed="false">
      <c r="B327" s="156"/>
      <c r="C327" s="156"/>
      <c r="D327" s="156"/>
      <c r="E327" s="157"/>
    </row>
    <row r="328" customFormat="false" ht="15.75" hidden="false" customHeight="false" outlineLevel="0" collapsed="false">
      <c r="B328" s="156"/>
      <c r="C328" s="156"/>
      <c r="D328" s="156"/>
      <c r="E328" s="157"/>
    </row>
    <row r="329" customFormat="false" ht="15.75" hidden="false" customHeight="false" outlineLevel="0" collapsed="false">
      <c r="B329" s="156"/>
      <c r="C329" s="156"/>
      <c r="D329" s="156"/>
      <c r="E329" s="157"/>
    </row>
    <row r="330" customFormat="false" ht="15.75" hidden="false" customHeight="false" outlineLevel="0" collapsed="false">
      <c r="B330" s="156"/>
      <c r="C330" s="156"/>
      <c r="D330" s="156"/>
      <c r="E330" s="157"/>
    </row>
    <row r="331" customFormat="false" ht="15.75" hidden="false" customHeight="false" outlineLevel="0" collapsed="false">
      <c r="B331" s="156"/>
      <c r="C331" s="156"/>
      <c r="D331" s="156"/>
      <c r="E331" s="157"/>
    </row>
    <row r="332" customFormat="false" ht="15.75" hidden="false" customHeight="false" outlineLevel="0" collapsed="false">
      <c r="B332" s="156"/>
      <c r="C332" s="156"/>
      <c r="D332" s="156"/>
      <c r="E332" s="157"/>
    </row>
    <row r="333" customFormat="false" ht="15.75" hidden="false" customHeight="false" outlineLevel="0" collapsed="false">
      <c r="B333" s="156"/>
      <c r="C333" s="156"/>
      <c r="D333" s="156"/>
      <c r="E333" s="157"/>
    </row>
    <row r="334" customFormat="false" ht="15.75" hidden="false" customHeight="false" outlineLevel="0" collapsed="false">
      <c r="B334" s="156"/>
      <c r="C334" s="156"/>
      <c r="D334" s="156"/>
      <c r="E334" s="157"/>
    </row>
    <row r="335" customFormat="false" ht="15.75" hidden="false" customHeight="false" outlineLevel="0" collapsed="false">
      <c r="B335" s="156"/>
      <c r="C335" s="156"/>
      <c r="D335" s="156"/>
      <c r="E335" s="157"/>
    </row>
    <row r="336" customFormat="false" ht="15.75" hidden="false" customHeight="false" outlineLevel="0" collapsed="false">
      <c r="B336" s="156"/>
      <c r="C336" s="156"/>
      <c r="D336" s="156"/>
      <c r="E336" s="157"/>
    </row>
    <row r="337" customFormat="false" ht="15.75" hidden="false" customHeight="false" outlineLevel="0" collapsed="false">
      <c r="B337" s="156"/>
      <c r="C337" s="156"/>
      <c r="D337" s="156"/>
      <c r="E337" s="157"/>
    </row>
    <row r="338" customFormat="false" ht="15.75" hidden="false" customHeight="false" outlineLevel="0" collapsed="false">
      <c r="B338" s="156"/>
      <c r="C338" s="156"/>
      <c r="D338" s="156"/>
      <c r="E338" s="157"/>
    </row>
    <row r="339" customFormat="false" ht="15.75" hidden="false" customHeight="false" outlineLevel="0" collapsed="false">
      <c r="B339" s="156"/>
      <c r="C339" s="156"/>
      <c r="D339" s="156"/>
      <c r="E339" s="157"/>
    </row>
    <row r="340" customFormat="false" ht="15.75" hidden="false" customHeight="false" outlineLevel="0" collapsed="false">
      <c r="B340" s="156"/>
      <c r="C340" s="156"/>
      <c r="D340" s="156"/>
      <c r="E340" s="157"/>
    </row>
    <row r="341" customFormat="false" ht="15.75" hidden="false" customHeight="false" outlineLevel="0" collapsed="false">
      <c r="B341" s="156"/>
      <c r="C341" s="156"/>
      <c r="D341" s="156"/>
      <c r="E341" s="157"/>
    </row>
    <row r="342" customFormat="false" ht="15.75" hidden="false" customHeight="false" outlineLevel="0" collapsed="false">
      <c r="B342" s="156"/>
      <c r="C342" s="156"/>
      <c r="D342" s="156"/>
      <c r="E342" s="157"/>
    </row>
    <row r="343" customFormat="false" ht="15.75" hidden="false" customHeight="false" outlineLevel="0" collapsed="false">
      <c r="B343" s="156"/>
      <c r="C343" s="156"/>
      <c r="D343" s="156"/>
      <c r="E343" s="157"/>
    </row>
    <row r="344" customFormat="false" ht="15.75" hidden="false" customHeight="false" outlineLevel="0" collapsed="false">
      <c r="B344" s="156"/>
      <c r="C344" s="156"/>
      <c r="D344" s="156"/>
      <c r="E344" s="157"/>
    </row>
    <row r="345" customFormat="false" ht="15.75" hidden="false" customHeight="false" outlineLevel="0" collapsed="false">
      <c r="B345" s="156"/>
      <c r="C345" s="156"/>
      <c r="D345" s="156"/>
      <c r="E345" s="157"/>
    </row>
    <row r="346" customFormat="false" ht="15.75" hidden="false" customHeight="false" outlineLevel="0" collapsed="false">
      <c r="B346" s="156"/>
      <c r="C346" s="156"/>
      <c r="D346" s="156"/>
      <c r="E346" s="157"/>
    </row>
    <row r="347" customFormat="false" ht="15.75" hidden="false" customHeight="false" outlineLevel="0" collapsed="false">
      <c r="B347" s="156"/>
      <c r="C347" s="156"/>
      <c r="D347" s="156"/>
      <c r="E347" s="157"/>
    </row>
    <row r="348" customFormat="false" ht="15.75" hidden="false" customHeight="false" outlineLevel="0" collapsed="false">
      <c r="B348" s="156"/>
      <c r="C348" s="156"/>
      <c r="D348" s="156"/>
      <c r="E348" s="157"/>
    </row>
    <row r="349" customFormat="false" ht="15.75" hidden="false" customHeight="false" outlineLevel="0" collapsed="false">
      <c r="B349" s="156"/>
      <c r="C349" s="156"/>
      <c r="D349" s="156"/>
      <c r="E349" s="157"/>
    </row>
    <row r="350" customFormat="false" ht="15.75" hidden="false" customHeight="false" outlineLevel="0" collapsed="false">
      <c r="B350" s="156"/>
      <c r="C350" s="156"/>
      <c r="D350" s="156"/>
      <c r="E350" s="157"/>
    </row>
    <row r="351" customFormat="false" ht="15.75" hidden="false" customHeight="false" outlineLevel="0" collapsed="false">
      <c r="B351" s="156"/>
      <c r="C351" s="156"/>
      <c r="D351" s="156"/>
      <c r="E351" s="157"/>
    </row>
    <row r="352" customFormat="false" ht="15.75" hidden="false" customHeight="false" outlineLevel="0" collapsed="false">
      <c r="B352" s="156"/>
      <c r="C352" s="156"/>
      <c r="D352" s="156"/>
      <c r="E352" s="157"/>
    </row>
    <row r="353" customFormat="false" ht="15.75" hidden="false" customHeight="false" outlineLevel="0" collapsed="false">
      <c r="B353" s="156"/>
      <c r="C353" s="156"/>
      <c r="D353" s="156"/>
      <c r="E353" s="157"/>
    </row>
    <row r="354" customFormat="false" ht="15.75" hidden="false" customHeight="false" outlineLevel="0" collapsed="false">
      <c r="B354" s="156"/>
      <c r="C354" s="156"/>
      <c r="D354" s="156"/>
      <c r="E354" s="157"/>
    </row>
    <row r="355" customFormat="false" ht="15.75" hidden="false" customHeight="false" outlineLevel="0" collapsed="false">
      <c r="B355" s="156"/>
      <c r="C355" s="156"/>
      <c r="D355" s="156"/>
      <c r="E355" s="157"/>
    </row>
    <row r="356" customFormat="false" ht="15.75" hidden="false" customHeight="false" outlineLevel="0" collapsed="false">
      <c r="B356" s="156"/>
      <c r="C356" s="156"/>
      <c r="D356" s="156"/>
      <c r="E356" s="157"/>
    </row>
    <row r="357" customFormat="false" ht="15.75" hidden="false" customHeight="false" outlineLevel="0" collapsed="false">
      <c r="B357" s="156"/>
      <c r="C357" s="156"/>
      <c r="D357" s="156"/>
      <c r="E357" s="157"/>
    </row>
    <row r="358" customFormat="false" ht="15.75" hidden="false" customHeight="false" outlineLevel="0" collapsed="false">
      <c r="B358" s="156"/>
      <c r="C358" s="156"/>
      <c r="D358" s="156"/>
      <c r="E358" s="157"/>
    </row>
    <row r="359" customFormat="false" ht="15.75" hidden="false" customHeight="false" outlineLevel="0" collapsed="false">
      <c r="B359" s="156"/>
      <c r="C359" s="156"/>
      <c r="D359" s="156"/>
      <c r="E359" s="157"/>
    </row>
    <row r="360" customFormat="false" ht="15.75" hidden="false" customHeight="false" outlineLevel="0" collapsed="false">
      <c r="B360" s="156"/>
      <c r="C360" s="156"/>
      <c r="D360" s="156"/>
      <c r="E360" s="157"/>
    </row>
    <row r="361" customFormat="false" ht="15.75" hidden="false" customHeight="false" outlineLevel="0" collapsed="false">
      <c r="B361" s="156"/>
      <c r="C361" s="156"/>
      <c r="D361" s="156"/>
      <c r="E361" s="157"/>
    </row>
    <row r="362" customFormat="false" ht="15.75" hidden="false" customHeight="false" outlineLevel="0" collapsed="false">
      <c r="B362" s="156"/>
      <c r="C362" s="156"/>
      <c r="D362" s="156"/>
      <c r="E362" s="157"/>
    </row>
    <row r="363" customFormat="false" ht="15.75" hidden="false" customHeight="false" outlineLevel="0" collapsed="false">
      <c r="B363" s="156"/>
      <c r="C363" s="156"/>
      <c r="D363" s="156"/>
      <c r="E363" s="157"/>
    </row>
    <row r="364" customFormat="false" ht="15.75" hidden="false" customHeight="false" outlineLevel="0" collapsed="false">
      <c r="B364" s="156"/>
      <c r="C364" s="156"/>
      <c r="D364" s="156"/>
      <c r="E364" s="157"/>
    </row>
    <row r="365" customFormat="false" ht="15.75" hidden="false" customHeight="false" outlineLevel="0" collapsed="false">
      <c r="B365" s="156"/>
      <c r="C365" s="156"/>
      <c r="D365" s="156"/>
      <c r="E365" s="157"/>
    </row>
    <row r="366" customFormat="false" ht="15.75" hidden="false" customHeight="false" outlineLevel="0" collapsed="false">
      <c r="B366" s="156"/>
      <c r="C366" s="156"/>
      <c r="D366" s="156"/>
      <c r="E366" s="157"/>
    </row>
    <row r="367" customFormat="false" ht="15.75" hidden="false" customHeight="false" outlineLevel="0" collapsed="false">
      <c r="B367" s="156"/>
      <c r="C367" s="156"/>
      <c r="D367" s="156"/>
      <c r="E367" s="157"/>
    </row>
    <row r="368" customFormat="false" ht="15.75" hidden="false" customHeight="false" outlineLevel="0" collapsed="false">
      <c r="B368" s="156"/>
      <c r="C368" s="156"/>
      <c r="D368" s="156"/>
      <c r="E368" s="157"/>
    </row>
    <row r="369" customFormat="false" ht="15.75" hidden="false" customHeight="false" outlineLevel="0" collapsed="false">
      <c r="B369" s="156"/>
      <c r="C369" s="156"/>
      <c r="D369" s="156"/>
      <c r="E369" s="157"/>
    </row>
    <row r="370" customFormat="false" ht="15.75" hidden="false" customHeight="false" outlineLevel="0" collapsed="false">
      <c r="B370" s="156"/>
      <c r="C370" s="156"/>
      <c r="D370" s="156"/>
      <c r="E370" s="157"/>
    </row>
    <row r="371" customFormat="false" ht="15.75" hidden="false" customHeight="false" outlineLevel="0" collapsed="false">
      <c r="B371" s="156"/>
      <c r="C371" s="156"/>
      <c r="D371" s="156"/>
      <c r="E371" s="157"/>
    </row>
    <row r="372" customFormat="false" ht="15.75" hidden="false" customHeight="false" outlineLevel="0" collapsed="false">
      <c r="B372" s="156"/>
      <c r="C372" s="156"/>
      <c r="D372" s="156"/>
      <c r="E372" s="157"/>
    </row>
    <row r="373" customFormat="false" ht="15.75" hidden="false" customHeight="false" outlineLevel="0" collapsed="false">
      <c r="B373" s="156"/>
      <c r="C373" s="156"/>
      <c r="D373" s="156"/>
      <c r="E373" s="157"/>
    </row>
    <row r="374" customFormat="false" ht="15.75" hidden="false" customHeight="false" outlineLevel="0" collapsed="false">
      <c r="B374" s="156"/>
      <c r="C374" s="156"/>
      <c r="D374" s="156"/>
      <c r="E374" s="157"/>
    </row>
    <row r="375" customFormat="false" ht="15.75" hidden="false" customHeight="false" outlineLevel="0" collapsed="false">
      <c r="B375" s="156"/>
      <c r="C375" s="156"/>
      <c r="D375" s="156"/>
      <c r="E375" s="157"/>
    </row>
    <row r="376" customFormat="false" ht="15.75" hidden="false" customHeight="false" outlineLevel="0" collapsed="false">
      <c r="B376" s="156"/>
      <c r="C376" s="156"/>
      <c r="D376" s="156"/>
      <c r="E376" s="157"/>
    </row>
    <row r="377" customFormat="false" ht="15.75" hidden="false" customHeight="false" outlineLevel="0" collapsed="false">
      <c r="B377" s="156"/>
      <c r="C377" s="156"/>
      <c r="D377" s="156"/>
      <c r="E377" s="157"/>
    </row>
    <row r="378" customFormat="false" ht="15.75" hidden="false" customHeight="false" outlineLevel="0" collapsed="false">
      <c r="B378" s="156"/>
      <c r="C378" s="156"/>
      <c r="D378" s="156"/>
      <c r="E378" s="157"/>
    </row>
    <row r="379" customFormat="false" ht="15.75" hidden="false" customHeight="false" outlineLevel="0" collapsed="false">
      <c r="B379" s="156"/>
      <c r="C379" s="156"/>
      <c r="D379" s="156"/>
      <c r="E379" s="157"/>
    </row>
    <row r="380" customFormat="false" ht="15.75" hidden="false" customHeight="false" outlineLevel="0" collapsed="false">
      <c r="B380" s="156"/>
      <c r="C380" s="156"/>
      <c r="D380" s="156"/>
      <c r="E380" s="157"/>
    </row>
    <row r="381" customFormat="false" ht="15.75" hidden="false" customHeight="false" outlineLevel="0" collapsed="false">
      <c r="B381" s="156"/>
      <c r="C381" s="156"/>
      <c r="D381" s="156"/>
      <c r="E381" s="157"/>
    </row>
    <row r="382" customFormat="false" ht="15.75" hidden="false" customHeight="false" outlineLevel="0" collapsed="false">
      <c r="B382" s="156"/>
      <c r="C382" s="156"/>
      <c r="D382" s="156"/>
      <c r="E382" s="157"/>
    </row>
    <row r="383" customFormat="false" ht="15.75" hidden="false" customHeight="false" outlineLevel="0" collapsed="false">
      <c r="B383" s="156"/>
      <c r="C383" s="156"/>
      <c r="D383" s="156"/>
      <c r="E383" s="157"/>
    </row>
    <row r="384" customFormat="false" ht="15.75" hidden="false" customHeight="false" outlineLevel="0" collapsed="false">
      <c r="B384" s="156"/>
      <c r="C384" s="156"/>
      <c r="D384" s="156"/>
      <c r="E384" s="157"/>
    </row>
    <row r="385" customFormat="false" ht="15.75" hidden="false" customHeight="false" outlineLevel="0" collapsed="false">
      <c r="B385" s="156"/>
      <c r="C385" s="156"/>
      <c r="D385" s="156"/>
      <c r="E385" s="157"/>
    </row>
    <row r="386" customFormat="false" ht="15.75" hidden="false" customHeight="false" outlineLevel="0" collapsed="false">
      <c r="B386" s="156"/>
      <c r="C386" s="156"/>
      <c r="D386" s="156"/>
      <c r="E386" s="157"/>
    </row>
    <row r="387" customFormat="false" ht="15.75" hidden="false" customHeight="false" outlineLevel="0" collapsed="false">
      <c r="B387" s="156"/>
      <c r="C387" s="156"/>
      <c r="D387" s="156"/>
      <c r="E387" s="157"/>
    </row>
    <row r="388" customFormat="false" ht="15.75" hidden="false" customHeight="false" outlineLevel="0" collapsed="false">
      <c r="B388" s="156"/>
      <c r="C388" s="156"/>
      <c r="D388" s="156"/>
      <c r="E388" s="157"/>
    </row>
    <row r="389" customFormat="false" ht="15.75" hidden="false" customHeight="false" outlineLevel="0" collapsed="false">
      <c r="B389" s="156"/>
      <c r="C389" s="156"/>
      <c r="D389" s="156"/>
      <c r="E389" s="157"/>
    </row>
    <row r="390" customFormat="false" ht="15.75" hidden="false" customHeight="false" outlineLevel="0" collapsed="false">
      <c r="B390" s="156"/>
      <c r="C390" s="156"/>
      <c r="D390" s="156"/>
      <c r="E390" s="157"/>
    </row>
    <row r="391" customFormat="false" ht="15.75" hidden="false" customHeight="false" outlineLevel="0" collapsed="false">
      <c r="B391" s="156"/>
      <c r="C391" s="156"/>
      <c r="D391" s="156"/>
      <c r="E391" s="157"/>
    </row>
    <row r="392" customFormat="false" ht="15.75" hidden="false" customHeight="false" outlineLevel="0" collapsed="false">
      <c r="B392" s="156"/>
      <c r="C392" s="156"/>
      <c r="D392" s="156"/>
      <c r="E392" s="157"/>
    </row>
    <row r="393" customFormat="false" ht="15.75" hidden="false" customHeight="false" outlineLevel="0" collapsed="false">
      <c r="B393" s="156"/>
      <c r="C393" s="156"/>
      <c r="D393" s="156"/>
      <c r="E393" s="157"/>
    </row>
    <row r="394" customFormat="false" ht="15.75" hidden="false" customHeight="false" outlineLevel="0" collapsed="false">
      <c r="B394" s="156"/>
      <c r="C394" s="156"/>
      <c r="D394" s="156"/>
      <c r="E394" s="157"/>
    </row>
    <row r="395" customFormat="false" ht="15.75" hidden="false" customHeight="false" outlineLevel="0" collapsed="false">
      <c r="B395" s="156"/>
      <c r="C395" s="156"/>
      <c r="D395" s="156"/>
      <c r="E395" s="157"/>
    </row>
    <row r="396" customFormat="false" ht="15.75" hidden="false" customHeight="false" outlineLevel="0" collapsed="false">
      <c r="B396" s="156"/>
      <c r="C396" s="156"/>
      <c r="D396" s="156"/>
      <c r="E396" s="157"/>
    </row>
    <row r="397" customFormat="false" ht="15.75" hidden="false" customHeight="false" outlineLevel="0" collapsed="false">
      <c r="B397" s="156"/>
      <c r="C397" s="156"/>
      <c r="D397" s="156"/>
      <c r="E397" s="157"/>
    </row>
    <row r="398" customFormat="false" ht="15.75" hidden="false" customHeight="false" outlineLevel="0" collapsed="false">
      <c r="B398" s="156"/>
      <c r="C398" s="156"/>
      <c r="D398" s="156"/>
      <c r="E398" s="157"/>
    </row>
    <row r="399" customFormat="false" ht="15.75" hidden="false" customHeight="false" outlineLevel="0" collapsed="false">
      <c r="B399" s="156"/>
      <c r="C399" s="156"/>
      <c r="D399" s="156"/>
      <c r="E399" s="157"/>
    </row>
    <row r="400" customFormat="false" ht="15.75" hidden="false" customHeight="false" outlineLevel="0" collapsed="false">
      <c r="B400" s="156"/>
      <c r="C400" s="156"/>
      <c r="D400" s="156"/>
      <c r="E400" s="157"/>
    </row>
    <row r="401" customFormat="false" ht="15.75" hidden="false" customHeight="false" outlineLevel="0" collapsed="false">
      <c r="B401" s="156"/>
      <c r="C401" s="156"/>
      <c r="D401" s="156"/>
      <c r="E401" s="157"/>
    </row>
    <row r="402" customFormat="false" ht="15.75" hidden="false" customHeight="false" outlineLevel="0" collapsed="false">
      <c r="B402" s="156"/>
      <c r="C402" s="156"/>
      <c r="D402" s="156"/>
      <c r="E402" s="157"/>
    </row>
    <row r="403" customFormat="false" ht="15.75" hidden="false" customHeight="false" outlineLevel="0" collapsed="false">
      <c r="B403" s="156"/>
      <c r="C403" s="156"/>
      <c r="D403" s="156"/>
      <c r="E403" s="157"/>
    </row>
    <row r="404" customFormat="false" ht="15.75" hidden="false" customHeight="false" outlineLevel="0" collapsed="false">
      <c r="B404" s="156"/>
      <c r="C404" s="156"/>
      <c r="D404" s="156"/>
      <c r="E404" s="157"/>
    </row>
    <row r="405" customFormat="false" ht="15.75" hidden="false" customHeight="false" outlineLevel="0" collapsed="false">
      <c r="B405" s="156"/>
      <c r="C405" s="156"/>
      <c r="D405" s="156"/>
      <c r="E405" s="157"/>
    </row>
    <row r="406" customFormat="false" ht="15.75" hidden="false" customHeight="false" outlineLevel="0" collapsed="false">
      <c r="B406" s="156"/>
      <c r="C406" s="156"/>
      <c r="D406" s="156"/>
      <c r="E406" s="157"/>
    </row>
    <row r="407" customFormat="false" ht="15.75" hidden="false" customHeight="false" outlineLevel="0" collapsed="false">
      <c r="B407" s="156"/>
      <c r="C407" s="156"/>
      <c r="D407" s="156"/>
      <c r="E407" s="157"/>
    </row>
    <row r="408" customFormat="false" ht="15.75" hidden="false" customHeight="false" outlineLevel="0" collapsed="false">
      <c r="B408" s="156"/>
      <c r="C408" s="156"/>
      <c r="D408" s="156"/>
      <c r="E408" s="157"/>
    </row>
    <row r="409" customFormat="false" ht="15.75" hidden="false" customHeight="false" outlineLevel="0" collapsed="false">
      <c r="B409" s="156"/>
      <c r="C409" s="156"/>
      <c r="D409" s="156"/>
      <c r="E409" s="157"/>
    </row>
    <row r="410" customFormat="false" ht="15.75" hidden="false" customHeight="false" outlineLevel="0" collapsed="false">
      <c r="B410" s="156"/>
      <c r="C410" s="156"/>
      <c r="D410" s="156"/>
      <c r="E410" s="157"/>
    </row>
    <row r="411" customFormat="false" ht="15.75" hidden="false" customHeight="false" outlineLevel="0" collapsed="false">
      <c r="B411" s="156"/>
      <c r="C411" s="156"/>
      <c r="D411" s="156"/>
      <c r="E411" s="157"/>
    </row>
    <row r="412" customFormat="false" ht="15.75" hidden="false" customHeight="false" outlineLevel="0" collapsed="false">
      <c r="B412" s="156"/>
      <c r="C412" s="156"/>
      <c r="D412" s="156"/>
      <c r="E412" s="157"/>
    </row>
    <row r="413" customFormat="false" ht="15.75" hidden="false" customHeight="false" outlineLevel="0" collapsed="false">
      <c r="B413" s="156"/>
      <c r="C413" s="156"/>
      <c r="D413" s="156"/>
      <c r="E413" s="157"/>
    </row>
    <row r="414" customFormat="false" ht="15.75" hidden="false" customHeight="false" outlineLevel="0" collapsed="false">
      <c r="B414" s="156"/>
      <c r="C414" s="156"/>
      <c r="D414" s="156"/>
      <c r="E414" s="157"/>
    </row>
    <row r="415" customFormat="false" ht="15.75" hidden="false" customHeight="false" outlineLevel="0" collapsed="false">
      <c r="B415" s="156"/>
      <c r="C415" s="156"/>
      <c r="D415" s="156"/>
      <c r="E415" s="157"/>
    </row>
    <row r="416" customFormat="false" ht="15.75" hidden="false" customHeight="false" outlineLevel="0" collapsed="false">
      <c r="B416" s="156"/>
      <c r="C416" s="156"/>
      <c r="D416" s="156"/>
      <c r="E416" s="157"/>
    </row>
    <row r="417" customFormat="false" ht="15.75" hidden="false" customHeight="false" outlineLevel="0" collapsed="false">
      <c r="B417" s="156"/>
      <c r="C417" s="156"/>
      <c r="D417" s="156"/>
      <c r="E417" s="157"/>
    </row>
    <row r="418" customFormat="false" ht="15.75" hidden="false" customHeight="false" outlineLevel="0" collapsed="false">
      <c r="B418" s="156"/>
      <c r="C418" s="156"/>
      <c r="D418" s="156"/>
      <c r="E418" s="157"/>
    </row>
    <row r="419" customFormat="false" ht="15.75" hidden="false" customHeight="false" outlineLevel="0" collapsed="false">
      <c r="B419" s="156"/>
      <c r="C419" s="156"/>
      <c r="D419" s="156"/>
      <c r="E419" s="157"/>
    </row>
    <row r="420" customFormat="false" ht="15.75" hidden="false" customHeight="false" outlineLevel="0" collapsed="false">
      <c r="B420" s="156"/>
      <c r="C420" s="156"/>
      <c r="D420" s="156"/>
      <c r="E420" s="157"/>
    </row>
    <row r="421" customFormat="false" ht="15.75" hidden="false" customHeight="false" outlineLevel="0" collapsed="false">
      <c r="B421" s="156"/>
      <c r="C421" s="156"/>
      <c r="D421" s="156"/>
      <c r="E421" s="157"/>
    </row>
    <row r="422" customFormat="false" ht="15.75" hidden="false" customHeight="false" outlineLevel="0" collapsed="false">
      <c r="B422" s="156"/>
      <c r="C422" s="156"/>
      <c r="D422" s="156"/>
      <c r="E422" s="157"/>
    </row>
    <row r="423" customFormat="false" ht="15.75" hidden="false" customHeight="false" outlineLevel="0" collapsed="false">
      <c r="B423" s="156"/>
      <c r="C423" s="156"/>
      <c r="D423" s="156"/>
      <c r="E423" s="157"/>
    </row>
    <row r="424" customFormat="false" ht="15.75" hidden="false" customHeight="false" outlineLevel="0" collapsed="false">
      <c r="B424" s="156"/>
      <c r="C424" s="156"/>
      <c r="D424" s="156"/>
      <c r="E424" s="157"/>
    </row>
    <row r="425" customFormat="false" ht="15.75" hidden="false" customHeight="false" outlineLevel="0" collapsed="false">
      <c r="B425" s="156"/>
      <c r="C425" s="156"/>
      <c r="D425" s="156"/>
      <c r="E425" s="157"/>
    </row>
    <row r="426" customFormat="false" ht="15.75" hidden="false" customHeight="false" outlineLevel="0" collapsed="false">
      <c r="B426" s="156"/>
      <c r="C426" s="156"/>
      <c r="D426" s="156"/>
      <c r="E426" s="157"/>
    </row>
    <row r="427" customFormat="false" ht="15.75" hidden="false" customHeight="false" outlineLevel="0" collapsed="false">
      <c r="B427" s="156"/>
      <c r="C427" s="156"/>
      <c r="D427" s="156"/>
      <c r="E427" s="157"/>
    </row>
    <row r="428" customFormat="false" ht="15.75" hidden="false" customHeight="false" outlineLevel="0" collapsed="false">
      <c r="B428" s="156"/>
      <c r="C428" s="156"/>
      <c r="D428" s="156"/>
      <c r="E428" s="157"/>
    </row>
    <row r="429" customFormat="false" ht="15.75" hidden="false" customHeight="false" outlineLevel="0" collapsed="false">
      <c r="B429" s="156"/>
      <c r="C429" s="156"/>
      <c r="D429" s="156"/>
      <c r="E429" s="157"/>
    </row>
    <row r="430" customFormat="false" ht="15.75" hidden="false" customHeight="false" outlineLevel="0" collapsed="false">
      <c r="B430" s="156"/>
      <c r="C430" s="156"/>
      <c r="D430" s="156"/>
      <c r="E430" s="157"/>
    </row>
    <row r="431" customFormat="false" ht="15.75" hidden="false" customHeight="false" outlineLevel="0" collapsed="false">
      <c r="B431" s="156"/>
      <c r="C431" s="156"/>
      <c r="D431" s="156"/>
      <c r="E431" s="157"/>
    </row>
    <row r="432" customFormat="false" ht="15.75" hidden="false" customHeight="false" outlineLevel="0" collapsed="false">
      <c r="B432" s="156"/>
      <c r="C432" s="156"/>
      <c r="D432" s="156"/>
      <c r="E432" s="157"/>
    </row>
    <row r="433" customFormat="false" ht="15.75" hidden="false" customHeight="false" outlineLevel="0" collapsed="false">
      <c r="B433" s="156"/>
      <c r="C433" s="156"/>
      <c r="D433" s="156"/>
      <c r="E433" s="157"/>
    </row>
    <row r="434" customFormat="false" ht="15.75" hidden="false" customHeight="false" outlineLevel="0" collapsed="false">
      <c r="B434" s="156"/>
      <c r="C434" s="156"/>
      <c r="D434" s="156"/>
      <c r="E434" s="157"/>
    </row>
    <row r="435" customFormat="false" ht="15.75" hidden="false" customHeight="false" outlineLevel="0" collapsed="false">
      <c r="B435" s="156"/>
      <c r="C435" s="156"/>
      <c r="D435" s="156"/>
      <c r="E435" s="157"/>
    </row>
    <row r="436" customFormat="false" ht="15.75" hidden="false" customHeight="false" outlineLevel="0" collapsed="false">
      <c r="B436" s="156"/>
      <c r="C436" s="156"/>
      <c r="D436" s="156"/>
      <c r="E436" s="157"/>
    </row>
    <row r="437" customFormat="false" ht="15.75" hidden="false" customHeight="false" outlineLevel="0" collapsed="false">
      <c r="B437" s="156"/>
      <c r="C437" s="156"/>
      <c r="D437" s="156"/>
      <c r="E437" s="157"/>
    </row>
    <row r="438" customFormat="false" ht="15.75" hidden="false" customHeight="false" outlineLevel="0" collapsed="false">
      <c r="B438" s="156"/>
      <c r="C438" s="156"/>
      <c r="D438" s="156"/>
      <c r="E438" s="157"/>
    </row>
    <row r="439" customFormat="false" ht="15.75" hidden="false" customHeight="false" outlineLevel="0" collapsed="false">
      <c r="B439" s="156"/>
      <c r="C439" s="156"/>
      <c r="D439" s="156"/>
      <c r="E439" s="157"/>
    </row>
    <row r="440" customFormat="false" ht="15.75" hidden="false" customHeight="false" outlineLevel="0" collapsed="false">
      <c r="B440" s="156"/>
      <c r="C440" s="156"/>
      <c r="D440" s="156"/>
      <c r="E440" s="157"/>
    </row>
    <row r="441" customFormat="false" ht="15.75" hidden="false" customHeight="false" outlineLevel="0" collapsed="false">
      <c r="B441" s="156"/>
      <c r="C441" s="156"/>
      <c r="D441" s="156"/>
      <c r="E441" s="157"/>
    </row>
    <row r="442" customFormat="false" ht="15.75" hidden="false" customHeight="false" outlineLevel="0" collapsed="false">
      <c r="B442" s="156"/>
      <c r="C442" s="156"/>
      <c r="D442" s="156"/>
      <c r="E442" s="157"/>
    </row>
    <row r="443" customFormat="false" ht="15.75" hidden="false" customHeight="false" outlineLevel="0" collapsed="false">
      <c r="B443" s="156"/>
      <c r="C443" s="156"/>
      <c r="D443" s="156"/>
      <c r="E443" s="157"/>
    </row>
    <row r="444" customFormat="false" ht="15.75" hidden="false" customHeight="false" outlineLevel="0" collapsed="false">
      <c r="B444" s="156"/>
      <c r="C444" s="156"/>
      <c r="D444" s="156"/>
      <c r="E444" s="157"/>
    </row>
    <row r="445" customFormat="false" ht="15.75" hidden="false" customHeight="false" outlineLevel="0" collapsed="false">
      <c r="B445" s="156"/>
      <c r="C445" s="156"/>
      <c r="D445" s="156"/>
      <c r="E445" s="157"/>
    </row>
    <row r="446" customFormat="false" ht="15.75" hidden="false" customHeight="false" outlineLevel="0" collapsed="false">
      <c r="B446" s="156"/>
      <c r="C446" s="156"/>
      <c r="D446" s="156"/>
      <c r="E446" s="157"/>
    </row>
    <row r="447" customFormat="false" ht="15.75" hidden="false" customHeight="false" outlineLevel="0" collapsed="false">
      <c r="B447" s="156"/>
      <c r="C447" s="156"/>
      <c r="D447" s="156"/>
      <c r="E447" s="157"/>
    </row>
    <row r="448" customFormat="false" ht="15.75" hidden="false" customHeight="false" outlineLevel="0" collapsed="false">
      <c r="B448" s="156"/>
      <c r="C448" s="156"/>
      <c r="D448" s="156"/>
      <c r="E448" s="157"/>
    </row>
    <row r="449" customFormat="false" ht="15.75" hidden="false" customHeight="false" outlineLevel="0" collapsed="false">
      <c r="B449" s="156"/>
      <c r="C449" s="156"/>
      <c r="D449" s="156"/>
      <c r="E449" s="157"/>
    </row>
    <row r="450" customFormat="false" ht="15.75" hidden="false" customHeight="false" outlineLevel="0" collapsed="false">
      <c r="B450" s="156"/>
      <c r="C450" s="156"/>
      <c r="D450" s="156"/>
      <c r="E450" s="157"/>
    </row>
    <row r="451" customFormat="false" ht="15.75" hidden="false" customHeight="false" outlineLevel="0" collapsed="false">
      <c r="B451" s="156"/>
      <c r="C451" s="156"/>
      <c r="D451" s="156"/>
      <c r="E451" s="157"/>
    </row>
    <row r="452" customFormat="false" ht="15.75" hidden="false" customHeight="false" outlineLevel="0" collapsed="false">
      <c r="B452" s="156"/>
      <c r="C452" s="156"/>
      <c r="D452" s="156"/>
      <c r="E452" s="157"/>
    </row>
    <row r="453" customFormat="false" ht="15.75" hidden="false" customHeight="false" outlineLevel="0" collapsed="false">
      <c r="B453" s="156"/>
      <c r="C453" s="156"/>
      <c r="D453" s="156"/>
      <c r="E453" s="157"/>
    </row>
    <row r="454" customFormat="false" ht="15.75" hidden="false" customHeight="false" outlineLevel="0" collapsed="false">
      <c r="B454" s="156"/>
      <c r="C454" s="156"/>
      <c r="D454" s="156"/>
      <c r="E454" s="157"/>
    </row>
    <row r="455" customFormat="false" ht="15.75" hidden="false" customHeight="false" outlineLevel="0" collapsed="false">
      <c r="B455" s="156"/>
      <c r="C455" s="156"/>
      <c r="D455" s="156"/>
      <c r="E455" s="157"/>
    </row>
    <row r="456" customFormat="false" ht="15.75" hidden="false" customHeight="false" outlineLevel="0" collapsed="false">
      <c r="B456" s="156"/>
      <c r="C456" s="156"/>
      <c r="D456" s="156"/>
      <c r="E456" s="157"/>
    </row>
    <row r="457" customFormat="false" ht="15.75" hidden="false" customHeight="false" outlineLevel="0" collapsed="false">
      <c r="B457" s="156"/>
      <c r="C457" s="156"/>
      <c r="D457" s="156"/>
      <c r="E457" s="157"/>
    </row>
    <row r="458" customFormat="false" ht="15.75" hidden="false" customHeight="false" outlineLevel="0" collapsed="false">
      <c r="B458" s="156"/>
      <c r="C458" s="156"/>
      <c r="D458" s="156"/>
      <c r="E458" s="157"/>
    </row>
    <row r="459" customFormat="false" ht="15.75" hidden="false" customHeight="false" outlineLevel="0" collapsed="false">
      <c r="B459" s="156"/>
      <c r="C459" s="156"/>
      <c r="D459" s="156"/>
      <c r="E459" s="157"/>
    </row>
    <row r="460" customFormat="false" ht="15.75" hidden="false" customHeight="false" outlineLevel="0" collapsed="false">
      <c r="B460" s="156"/>
      <c r="C460" s="156"/>
      <c r="D460" s="156"/>
      <c r="E460" s="157"/>
    </row>
    <row r="461" customFormat="false" ht="15.75" hidden="false" customHeight="false" outlineLevel="0" collapsed="false">
      <c r="B461" s="156"/>
      <c r="C461" s="156"/>
      <c r="D461" s="156"/>
      <c r="E461" s="157"/>
    </row>
    <row r="462" customFormat="false" ht="15.75" hidden="false" customHeight="false" outlineLevel="0" collapsed="false">
      <c r="B462" s="156"/>
      <c r="C462" s="156"/>
      <c r="D462" s="156"/>
      <c r="E462" s="157"/>
    </row>
    <row r="463" customFormat="false" ht="15.75" hidden="false" customHeight="false" outlineLevel="0" collapsed="false">
      <c r="B463" s="156"/>
      <c r="C463" s="156"/>
      <c r="D463" s="156"/>
      <c r="E463" s="157"/>
    </row>
    <row r="464" customFormat="false" ht="15.75" hidden="false" customHeight="false" outlineLevel="0" collapsed="false">
      <c r="B464" s="156"/>
      <c r="C464" s="156"/>
      <c r="D464" s="156"/>
      <c r="E464" s="157"/>
    </row>
    <row r="465" customFormat="false" ht="15.75" hidden="false" customHeight="false" outlineLevel="0" collapsed="false">
      <c r="B465" s="156"/>
      <c r="C465" s="156"/>
      <c r="D465" s="156"/>
      <c r="E465" s="157"/>
    </row>
    <row r="466" customFormat="false" ht="15.75" hidden="false" customHeight="false" outlineLevel="0" collapsed="false">
      <c r="B466" s="156"/>
      <c r="C466" s="156"/>
      <c r="D466" s="156"/>
      <c r="E466" s="157"/>
    </row>
    <row r="467" customFormat="false" ht="15.75" hidden="false" customHeight="false" outlineLevel="0" collapsed="false">
      <c r="B467" s="156"/>
      <c r="C467" s="156"/>
      <c r="D467" s="156"/>
      <c r="E467" s="157"/>
    </row>
    <row r="468" customFormat="false" ht="15.75" hidden="false" customHeight="false" outlineLevel="0" collapsed="false">
      <c r="B468" s="156"/>
      <c r="C468" s="156"/>
      <c r="D468" s="156"/>
      <c r="E468" s="157"/>
    </row>
    <row r="469" customFormat="false" ht="15.75" hidden="false" customHeight="false" outlineLevel="0" collapsed="false">
      <c r="B469" s="156"/>
      <c r="C469" s="156"/>
      <c r="D469" s="156"/>
      <c r="E469" s="157"/>
    </row>
    <row r="470" customFormat="false" ht="15.75" hidden="false" customHeight="false" outlineLevel="0" collapsed="false">
      <c r="B470" s="156"/>
      <c r="C470" s="156"/>
      <c r="D470" s="156"/>
      <c r="E470" s="157"/>
    </row>
    <row r="471" customFormat="false" ht="15.75" hidden="false" customHeight="false" outlineLevel="0" collapsed="false">
      <c r="B471" s="156"/>
      <c r="C471" s="156"/>
      <c r="D471" s="156"/>
      <c r="E471" s="157"/>
    </row>
    <row r="472" customFormat="false" ht="15.75" hidden="false" customHeight="false" outlineLevel="0" collapsed="false">
      <c r="B472" s="156"/>
      <c r="C472" s="156"/>
      <c r="D472" s="156"/>
      <c r="E472" s="157"/>
    </row>
    <row r="473" customFormat="false" ht="15.75" hidden="false" customHeight="false" outlineLevel="0" collapsed="false">
      <c r="B473" s="156"/>
      <c r="C473" s="156"/>
      <c r="D473" s="156"/>
      <c r="E473" s="157"/>
    </row>
    <row r="474" customFormat="false" ht="15.75" hidden="false" customHeight="false" outlineLevel="0" collapsed="false">
      <c r="B474" s="156"/>
      <c r="C474" s="156"/>
      <c r="D474" s="156"/>
      <c r="E474" s="157"/>
    </row>
    <row r="475" customFormat="false" ht="15.75" hidden="false" customHeight="false" outlineLevel="0" collapsed="false">
      <c r="B475" s="156"/>
      <c r="C475" s="156"/>
      <c r="D475" s="156"/>
      <c r="E475" s="157"/>
    </row>
    <row r="476" customFormat="false" ht="15.75" hidden="false" customHeight="false" outlineLevel="0" collapsed="false">
      <c r="B476" s="156"/>
      <c r="C476" s="156"/>
      <c r="D476" s="156"/>
      <c r="E476" s="157"/>
    </row>
    <row r="477" customFormat="false" ht="15.75" hidden="false" customHeight="false" outlineLevel="0" collapsed="false">
      <c r="B477" s="156"/>
      <c r="C477" s="156"/>
      <c r="D477" s="156"/>
      <c r="E477" s="157"/>
    </row>
    <row r="478" customFormat="false" ht="15.75" hidden="false" customHeight="false" outlineLevel="0" collapsed="false">
      <c r="B478" s="156"/>
      <c r="C478" s="156"/>
      <c r="D478" s="156"/>
      <c r="E478" s="157"/>
    </row>
    <row r="479" customFormat="false" ht="15.75" hidden="false" customHeight="false" outlineLevel="0" collapsed="false">
      <c r="B479" s="156"/>
      <c r="C479" s="156"/>
      <c r="D479" s="156"/>
      <c r="E479" s="157"/>
    </row>
    <row r="480" customFormat="false" ht="15.75" hidden="false" customHeight="false" outlineLevel="0" collapsed="false">
      <c r="B480" s="156"/>
      <c r="C480" s="156"/>
      <c r="D480" s="156"/>
      <c r="E480" s="157"/>
    </row>
    <row r="481" customFormat="false" ht="15.75" hidden="false" customHeight="false" outlineLevel="0" collapsed="false">
      <c r="B481" s="156"/>
      <c r="C481" s="156"/>
      <c r="D481" s="156"/>
      <c r="E481" s="157"/>
    </row>
    <row r="482" customFormat="false" ht="15.75" hidden="false" customHeight="false" outlineLevel="0" collapsed="false">
      <c r="B482" s="156"/>
      <c r="C482" s="156"/>
      <c r="D482" s="156"/>
      <c r="E482" s="157"/>
    </row>
    <row r="483" customFormat="false" ht="15.75" hidden="false" customHeight="false" outlineLevel="0" collapsed="false">
      <c r="B483" s="156"/>
      <c r="C483" s="156"/>
      <c r="D483" s="156"/>
      <c r="E483" s="157"/>
    </row>
    <row r="484" customFormat="false" ht="15.75" hidden="false" customHeight="false" outlineLevel="0" collapsed="false">
      <c r="B484" s="156"/>
      <c r="C484" s="156"/>
      <c r="D484" s="156"/>
      <c r="E484" s="157"/>
    </row>
    <row r="485" customFormat="false" ht="15.75" hidden="false" customHeight="false" outlineLevel="0" collapsed="false">
      <c r="B485" s="156"/>
      <c r="C485" s="156"/>
      <c r="D485" s="156"/>
      <c r="E485" s="157"/>
    </row>
    <row r="486" customFormat="false" ht="15.75" hidden="false" customHeight="false" outlineLevel="0" collapsed="false">
      <c r="B486" s="156"/>
      <c r="C486" s="156"/>
      <c r="D486" s="156"/>
      <c r="E486" s="157"/>
    </row>
    <row r="487" customFormat="false" ht="15.75" hidden="false" customHeight="false" outlineLevel="0" collapsed="false">
      <c r="B487" s="156"/>
      <c r="C487" s="156"/>
      <c r="D487" s="156"/>
      <c r="E487" s="157"/>
    </row>
    <row r="488" customFormat="false" ht="15.75" hidden="false" customHeight="false" outlineLevel="0" collapsed="false">
      <c r="B488" s="156"/>
      <c r="C488" s="156"/>
      <c r="D488" s="156"/>
      <c r="E488" s="157"/>
    </row>
    <row r="489" customFormat="false" ht="15.75" hidden="false" customHeight="false" outlineLevel="0" collapsed="false">
      <c r="B489" s="156"/>
      <c r="C489" s="156"/>
      <c r="D489" s="156"/>
      <c r="E489" s="157"/>
    </row>
    <row r="490" customFormat="false" ht="15.75" hidden="false" customHeight="false" outlineLevel="0" collapsed="false">
      <c r="B490" s="156"/>
      <c r="C490" s="156"/>
      <c r="D490" s="156"/>
      <c r="E490" s="157"/>
    </row>
    <row r="491" customFormat="false" ht="15.75" hidden="false" customHeight="false" outlineLevel="0" collapsed="false">
      <c r="B491" s="156"/>
      <c r="C491" s="156"/>
      <c r="D491" s="156"/>
      <c r="E491" s="157"/>
    </row>
    <row r="492" customFormat="false" ht="15.75" hidden="false" customHeight="false" outlineLevel="0" collapsed="false">
      <c r="B492" s="156"/>
      <c r="C492" s="156"/>
      <c r="D492" s="156"/>
      <c r="E492" s="157"/>
    </row>
    <row r="493" customFormat="false" ht="15.75" hidden="false" customHeight="false" outlineLevel="0" collapsed="false">
      <c r="B493" s="156"/>
      <c r="C493" s="156"/>
      <c r="D493" s="156"/>
      <c r="E493" s="157"/>
    </row>
    <row r="494" customFormat="false" ht="15.75" hidden="false" customHeight="false" outlineLevel="0" collapsed="false">
      <c r="B494" s="156"/>
      <c r="C494" s="156"/>
      <c r="D494" s="156"/>
      <c r="E494" s="157"/>
    </row>
    <row r="495" customFormat="false" ht="15.75" hidden="false" customHeight="false" outlineLevel="0" collapsed="false">
      <c r="B495" s="156"/>
      <c r="C495" s="156"/>
      <c r="D495" s="156"/>
      <c r="E495" s="157"/>
    </row>
    <row r="496" customFormat="false" ht="15.75" hidden="false" customHeight="false" outlineLevel="0" collapsed="false">
      <c r="B496" s="156"/>
      <c r="C496" s="156"/>
      <c r="D496" s="156"/>
      <c r="E496" s="157"/>
    </row>
    <row r="497" customFormat="false" ht="15.75" hidden="false" customHeight="false" outlineLevel="0" collapsed="false">
      <c r="B497" s="156"/>
      <c r="C497" s="156"/>
      <c r="D497" s="156"/>
      <c r="E497" s="157"/>
    </row>
    <row r="498" customFormat="false" ht="15.75" hidden="false" customHeight="false" outlineLevel="0" collapsed="false">
      <c r="B498" s="156"/>
      <c r="C498" s="156"/>
      <c r="D498" s="156"/>
      <c r="E498" s="157"/>
    </row>
    <row r="499" customFormat="false" ht="15.75" hidden="false" customHeight="false" outlineLevel="0" collapsed="false">
      <c r="B499" s="156"/>
      <c r="C499" s="156"/>
      <c r="D499" s="156"/>
      <c r="E499" s="157"/>
    </row>
    <row r="500" customFormat="false" ht="15.75" hidden="false" customHeight="false" outlineLevel="0" collapsed="false">
      <c r="B500" s="156"/>
      <c r="C500" s="156"/>
      <c r="D500" s="156"/>
      <c r="E500" s="157"/>
    </row>
    <row r="501" customFormat="false" ht="15.75" hidden="false" customHeight="false" outlineLevel="0" collapsed="false">
      <c r="B501" s="156"/>
      <c r="C501" s="156"/>
      <c r="D501" s="156"/>
      <c r="E501" s="157"/>
    </row>
    <row r="502" customFormat="false" ht="15.75" hidden="false" customHeight="false" outlineLevel="0" collapsed="false">
      <c r="B502" s="156"/>
      <c r="C502" s="156"/>
      <c r="D502" s="156"/>
      <c r="E502" s="157"/>
    </row>
    <row r="503" customFormat="false" ht="15.75" hidden="false" customHeight="false" outlineLevel="0" collapsed="false">
      <c r="B503" s="156"/>
      <c r="C503" s="156"/>
      <c r="D503" s="156"/>
      <c r="E503" s="157"/>
    </row>
    <row r="504" customFormat="false" ht="15.75" hidden="false" customHeight="false" outlineLevel="0" collapsed="false">
      <c r="B504" s="156"/>
      <c r="C504" s="156"/>
      <c r="D504" s="156"/>
      <c r="E504" s="157"/>
    </row>
    <row r="505" customFormat="false" ht="15.75" hidden="false" customHeight="false" outlineLevel="0" collapsed="false">
      <c r="B505" s="156"/>
      <c r="C505" s="156"/>
      <c r="D505" s="156"/>
      <c r="E505" s="157"/>
    </row>
  </sheetData>
  <dataValidations count="1">
    <dataValidation allowBlank="true" errorStyle="stop" operator="between" showDropDown="false" showErrorMessage="true" showInputMessage="true" sqref="A2:A43" type="list">
      <formula1>'База данных'!$A$2:$A$43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7" activeCellId="0" sqref="H7"/>
    </sheetView>
  </sheetViews>
  <sheetFormatPr defaultColWidth="8.5703125" defaultRowHeight="15" zeroHeight="false" outlineLevelRow="0" outlineLevelCol="0"/>
  <cols>
    <col collapsed="false" customWidth="true" hidden="false" outlineLevel="0" max="1" min="1" style="158" width="21.71"/>
    <col collapsed="false" customWidth="true" hidden="false" outlineLevel="0" max="2" min="2" style="158" width="19.86"/>
    <col collapsed="false" customWidth="true" hidden="false" outlineLevel="0" max="26" min="3" style="158" width="8"/>
    <col collapsed="false" customWidth="true" hidden="false" outlineLevel="0" max="27" min="27" style="0" width="21.43"/>
    <col collapsed="false" customWidth="true" hidden="false" outlineLevel="0" max="28" min="28" style="0" width="14.4"/>
    <col collapsed="false" customWidth="true" hidden="false" outlineLevel="0" max="29" min="29" style="0" width="17.84"/>
    <col collapsed="false" customWidth="true" hidden="false" outlineLevel="0" max="16384" min="16356" style="0" width="11.53"/>
  </cols>
  <sheetData>
    <row r="1" customFormat="false" ht="15" hidden="false" customHeight="false" outlineLevel="0" collapsed="false">
      <c r="A1" s="159" t="s">
        <v>83</v>
      </c>
      <c r="B1" s="159" t="s">
        <v>98</v>
      </c>
      <c r="C1" s="160" t="s">
        <v>21</v>
      </c>
      <c r="D1" s="160" t="s">
        <v>10</v>
      </c>
      <c r="E1" s="160" t="s">
        <v>17</v>
      </c>
      <c r="F1" s="160" t="s">
        <v>22</v>
      </c>
      <c r="G1" s="160" t="s">
        <v>41</v>
      </c>
      <c r="H1" s="160" t="s">
        <v>49</v>
      </c>
      <c r="I1" s="160" t="s">
        <v>44</v>
      </c>
      <c r="J1" s="160" t="s">
        <v>40</v>
      </c>
      <c r="K1" s="160" t="s">
        <v>45</v>
      </c>
      <c r="L1" s="160" t="s">
        <v>42</v>
      </c>
      <c r="M1" s="160" t="s">
        <v>14</v>
      </c>
      <c r="N1" s="160" t="s">
        <v>46</v>
      </c>
      <c r="O1" s="160" t="s">
        <v>43</v>
      </c>
      <c r="P1" s="160" t="s">
        <v>47</v>
      </c>
      <c r="Q1" s="160" t="s">
        <v>48</v>
      </c>
      <c r="R1" s="160" t="s">
        <v>28</v>
      </c>
      <c r="S1" s="160" t="s">
        <v>29</v>
      </c>
      <c r="T1" s="160" t="s">
        <v>26</v>
      </c>
      <c r="U1" s="160" t="s">
        <v>27</v>
      </c>
      <c r="V1" s="160" t="s">
        <v>13</v>
      </c>
      <c r="W1" s="160" t="s">
        <v>11</v>
      </c>
      <c r="X1" s="160" t="s">
        <v>18</v>
      </c>
      <c r="Y1" s="160" t="s">
        <v>23</v>
      </c>
      <c r="Z1" s="160" t="s">
        <v>12</v>
      </c>
      <c r="AA1" s="161" t="s">
        <v>99</v>
      </c>
      <c r="AB1" s="162" t="s">
        <v>100</v>
      </c>
      <c r="AC1" s="163" t="s">
        <v>101</v>
      </c>
      <c r="AD1" s="164"/>
    </row>
    <row r="2" customFormat="false" ht="15" hidden="false" customHeight="false" outlineLevel="0" collapsed="false">
      <c r="A2" s="165" t="s">
        <v>69</v>
      </c>
      <c r="B2" s="165" t="s">
        <v>102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 t="n">
        <v>4</v>
      </c>
      <c r="N2" s="166" t="n">
        <v>4</v>
      </c>
      <c r="O2" s="166"/>
      <c r="P2" s="166"/>
      <c r="Q2" s="166" t="n">
        <v>4</v>
      </c>
      <c r="R2" s="166" t="n">
        <v>3</v>
      </c>
      <c r="S2" s="166" t="n">
        <v>3</v>
      </c>
      <c r="T2" s="166" t="n">
        <v>3</v>
      </c>
      <c r="U2" s="166" t="n">
        <v>3</v>
      </c>
      <c r="V2" s="166"/>
      <c r="W2" s="166"/>
      <c r="X2" s="166"/>
      <c r="Y2" s="166"/>
      <c r="Z2" s="166"/>
      <c r="AA2" s="167" t="s">
        <v>103</v>
      </c>
      <c r="AB2" s="167" t="s">
        <v>88</v>
      </c>
      <c r="AC2" s="168"/>
      <c r="AD2" s="164"/>
    </row>
    <row r="3" customFormat="false" ht="15" hidden="false" customHeight="false" outlineLevel="0" collapsed="false">
      <c r="A3" s="165" t="s">
        <v>57</v>
      </c>
      <c r="B3" s="165" t="s">
        <v>104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 t="n">
        <v>3</v>
      </c>
      <c r="O3" s="160" t="n">
        <v>3</v>
      </c>
      <c r="P3" s="160" t="n">
        <v>3</v>
      </c>
      <c r="Q3" s="160" t="n">
        <v>3</v>
      </c>
      <c r="R3" s="160" t="n">
        <v>2</v>
      </c>
      <c r="S3" s="160" t="n">
        <v>2</v>
      </c>
      <c r="T3" s="160" t="n">
        <v>2</v>
      </c>
      <c r="U3" s="160" t="n">
        <v>2</v>
      </c>
      <c r="V3" s="160" t="n">
        <v>1</v>
      </c>
      <c r="W3" s="160" t="n">
        <v>2</v>
      </c>
      <c r="X3" s="160" t="n">
        <v>1</v>
      </c>
      <c r="Y3" s="160" t="n">
        <v>1</v>
      </c>
      <c r="Z3" s="160" t="n">
        <v>1</v>
      </c>
      <c r="AA3" s="167" t="s">
        <v>105</v>
      </c>
      <c r="AB3" s="167" t="s">
        <v>88</v>
      </c>
      <c r="AC3" s="168"/>
      <c r="AD3" s="164"/>
    </row>
    <row r="4" customFormat="false" ht="15" hidden="false" customHeight="false" outlineLevel="0" collapsed="false">
      <c r="A4" s="169" t="s">
        <v>63</v>
      </c>
      <c r="B4" s="169" t="s">
        <v>102</v>
      </c>
      <c r="C4" s="166"/>
      <c r="D4" s="166"/>
      <c r="E4" s="166"/>
      <c r="F4" s="166"/>
      <c r="G4" s="166" t="n">
        <v>3</v>
      </c>
      <c r="H4" s="166"/>
      <c r="I4" s="166"/>
      <c r="J4" s="166" t="n">
        <v>3</v>
      </c>
      <c r="K4" s="166" t="n">
        <v>3</v>
      </c>
      <c r="L4" s="166"/>
      <c r="M4" s="166" t="n">
        <v>3</v>
      </c>
      <c r="N4" s="166"/>
      <c r="O4" s="166" t="n">
        <v>3</v>
      </c>
      <c r="P4" s="166"/>
      <c r="Q4" s="166" t="n">
        <v>3</v>
      </c>
      <c r="R4" s="166"/>
      <c r="S4" s="166"/>
      <c r="T4" s="166"/>
      <c r="U4" s="166"/>
      <c r="V4" s="166"/>
      <c r="W4" s="166"/>
      <c r="X4" s="166"/>
      <c r="Y4" s="166"/>
      <c r="Z4" s="166"/>
      <c r="AA4" s="167" t="s">
        <v>103</v>
      </c>
      <c r="AB4" s="167" t="s">
        <v>88</v>
      </c>
      <c r="AC4" s="168"/>
      <c r="AD4" s="164"/>
    </row>
    <row r="5" customFormat="false" ht="15" hidden="false" customHeight="false" outlineLevel="0" collapsed="false">
      <c r="A5" s="169" t="s">
        <v>63</v>
      </c>
      <c r="B5" s="169" t="s">
        <v>106</v>
      </c>
      <c r="C5" s="166"/>
      <c r="D5" s="166"/>
      <c r="E5" s="166"/>
      <c r="F5" s="166"/>
      <c r="G5" s="166" t="n">
        <v>1</v>
      </c>
      <c r="H5" s="166"/>
      <c r="I5" s="166"/>
      <c r="J5" s="166" t="n">
        <v>2</v>
      </c>
      <c r="K5" s="166" t="n">
        <v>1</v>
      </c>
      <c r="L5" s="166"/>
      <c r="M5" s="166" t="n">
        <v>1</v>
      </c>
      <c r="N5" s="166"/>
      <c r="O5" s="166" t="n">
        <v>1</v>
      </c>
      <c r="P5" s="166"/>
      <c r="Q5" s="166" t="n">
        <v>1</v>
      </c>
      <c r="R5" s="166"/>
      <c r="S5" s="166"/>
      <c r="T5" s="166"/>
      <c r="U5" s="166"/>
      <c r="V5" s="166"/>
      <c r="W5" s="166"/>
      <c r="X5" s="166"/>
      <c r="Y5" s="166"/>
      <c r="Z5" s="166"/>
      <c r="AA5" s="167" t="s">
        <v>103</v>
      </c>
      <c r="AB5" s="167" t="s">
        <v>88</v>
      </c>
      <c r="AC5" s="168"/>
      <c r="AD5" s="164"/>
    </row>
    <row r="6" customFormat="false" ht="15" hidden="false" customHeight="false" outlineLevel="0" collapsed="false">
      <c r="A6" s="169" t="s">
        <v>51</v>
      </c>
      <c r="B6" s="169" t="s">
        <v>107</v>
      </c>
      <c r="C6" s="166" t="n">
        <v>1</v>
      </c>
      <c r="D6" s="166" t="n">
        <v>1</v>
      </c>
      <c r="E6" s="166" t="n">
        <v>1</v>
      </c>
      <c r="F6" s="166" t="n">
        <v>1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 t="s">
        <v>105</v>
      </c>
      <c r="AB6" s="167" t="s">
        <v>88</v>
      </c>
      <c r="AC6" s="168"/>
      <c r="AD6" s="164"/>
    </row>
    <row r="7" customFormat="false" ht="15" hidden="false" customHeight="false" outlineLevel="0" collapsed="false">
      <c r="A7" s="169" t="s">
        <v>51</v>
      </c>
      <c r="B7" s="169" t="s">
        <v>108</v>
      </c>
      <c r="C7" s="160" t="n">
        <v>1</v>
      </c>
      <c r="D7" s="160" t="n">
        <v>1</v>
      </c>
      <c r="E7" s="160" t="n">
        <v>1</v>
      </c>
      <c r="F7" s="160" t="n">
        <v>1</v>
      </c>
      <c r="G7" s="160" t="n">
        <v>1</v>
      </c>
      <c r="H7" s="160" t="n">
        <v>1</v>
      </c>
      <c r="I7" s="160" t="n">
        <v>1</v>
      </c>
      <c r="J7" s="160" t="n">
        <v>1</v>
      </c>
      <c r="K7" s="160" t="n">
        <v>1</v>
      </c>
      <c r="L7" s="160" t="n">
        <v>1</v>
      </c>
      <c r="M7" s="160" t="n">
        <v>1</v>
      </c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7" t="s">
        <v>105</v>
      </c>
      <c r="AB7" s="167" t="s">
        <v>88</v>
      </c>
      <c r="AC7" s="168"/>
      <c r="AD7" s="164"/>
    </row>
    <row r="8" customFormat="false" ht="15" hidden="false" customHeight="false" outlineLevel="0" collapsed="false">
      <c r="A8" s="165" t="s">
        <v>16</v>
      </c>
      <c r="B8" s="165" t="s">
        <v>109</v>
      </c>
      <c r="C8" s="160"/>
      <c r="D8" s="160"/>
      <c r="E8" s="160" t="n">
        <v>6</v>
      </c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 t="n">
        <v>8</v>
      </c>
      <c r="X8" s="160" t="n">
        <v>8</v>
      </c>
      <c r="Y8" s="160"/>
      <c r="Z8" s="160" t="n">
        <v>5</v>
      </c>
      <c r="AA8" s="167" t="s">
        <v>105</v>
      </c>
      <c r="AB8" s="167" t="s">
        <v>88</v>
      </c>
      <c r="AC8" s="168"/>
      <c r="AD8" s="164"/>
    </row>
    <row r="9" customFormat="false" ht="15" hidden="false" customHeight="false" outlineLevel="0" collapsed="false">
      <c r="A9" s="165" t="s">
        <v>20</v>
      </c>
      <c r="B9" s="165" t="s">
        <v>109</v>
      </c>
      <c r="C9" s="160" t="n">
        <v>6</v>
      </c>
      <c r="D9" s="160" t="n">
        <v>5</v>
      </c>
      <c r="E9" s="160"/>
      <c r="F9" s="160" t="n">
        <v>6</v>
      </c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 t="n">
        <v>5</v>
      </c>
      <c r="Z9" s="160" t="n">
        <v>3</v>
      </c>
      <c r="AA9" s="167" t="s">
        <v>105</v>
      </c>
      <c r="AB9" s="167" t="s">
        <v>88</v>
      </c>
      <c r="AC9" s="168"/>
      <c r="AD9" s="164"/>
    </row>
    <row r="10" customFormat="false" ht="15" hidden="false" customHeight="false" outlineLevel="0" collapsed="false">
      <c r="A10" s="165" t="s">
        <v>70</v>
      </c>
      <c r="B10" s="165" t="s">
        <v>109</v>
      </c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 t="n">
        <v>7</v>
      </c>
      <c r="N10" s="160" t="n">
        <v>7</v>
      </c>
      <c r="O10" s="160" t="n">
        <v>7</v>
      </c>
      <c r="P10" s="160"/>
      <c r="Q10" s="160" t="n">
        <v>7</v>
      </c>
      <c r="R10" s="160"/>
      <c r="S10" s="160"/>
      <c r="T10" s="160"/>
      <c r="U10" s="160"/>
      <c r="V10" s="160"/>
      <c r="W10" s="160"/>
      <c r="X10" s="160"/>
      <c r="Y10" s="160"/>
      <c r="Z10" s="160"/>
      <c r="AA10" s="167" t="s">
        <v>105</v>
      </c>
      <c r="AB10" s="167" t="s">
        <v>88</v>
      </c>
      <c r="AC10" s="168"/>
      <c r="AD10" s="164"/>
    </row>
    <row r="11" customFormat="false" ht="15" hidden="false" customHeight="false" outlineLevel="0" collapsed="false">
      <c r="A11" s="165" t="s">
        <v>59</v>
      </c>
      <c r="B11" s="165" t="s">
        <v>109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 t="n">
        <v>7</v>
      </c>
      <c r="S11" s="160" t="n">
        <v>7</v>
      </c>
      <c r="T11" s="160"/>
      <c r="U11" s="160" t="n">
        <v>7</v>
      </c>
      <c r="V11" s="160" t="n">
        <v>8</v>
      </c>
      <c r="W11" s="160"/>
      <c r="X11" s="160"/>
      <c r="Y11" s="160"/>
      <c r="Z11" s="160"/>
      <c r="AA11" s="167" t="s">
        <v>105</v>
      </c>
      <c r="AB11" s="167" t="s">
        <v>88</v>
      </c>
      <c r="AC11" s="168"/>
      <c r="AD11" s="164"/>
    </row>
    <row r="12" customFormat="false" ht="15" hidden="false" customHeight="false" outlineLevel="0" collapsed="false">
      <c r="A12" s="165" t="s">
        <v>37</v>
      </c>
      <c r="B12" s="165" t="s">
        <v>102</v>
      </c>
      <c r="C12" s="166"/>
      <c r="D12" s="166"/>
      <c r="E12" s="166"/>
      <c r="F12" s="166" t="n">
        <v>4</v>
      </c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7" t="s">
        <v>103</v>
      </c>
      <c r="AB12" s="167" t="s">
        <v>88</v>
      </c>
      <c r="AC12" s="168"/>
      <c r="AD12" s="164"/>
    </row>
    <row r="13" customFormat="false" ht="15" hidden="false" customHeight="false" outlineLevel="0" collapsed="false">
      <c r="A13" s="165" t="s">
        <v>54</v>
      </c>
      <c r="B13" s="165" t="s">
        <v>110</v>
      </c>
      <c r="C13" s="160" t="n">
        <v>2</v>
      </c>
      <c r="D13" s="160" t="n">
        <v>2</v>
      </c>
      <c r="E13" s="160" t="n">
        <v>2</v>
      </c>
      <c r="F13" s="160" t="n">
        <v>2</v>
      </c>
      <c r="G13" s="160" t="n">
        <v>2</v>
      </c>
      <c r="H13" s="160" t="n">
        <v>2</v>
      </c>
      <c r="I13" s="160" t="n">
        <v>2</v>
      </c>
      <c r="J13" s="160" t="n">
        <v>2</v>
      </c>
      <c r="K13" s="160" t="n">
        <v>2</v>
      </c>
      <c r="L13" s="160" t="n">
        <v>2</v>
      </c>
      <c r="M13" s="160" t="n">
        <v>2</v>
      </c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7" t="s">
        <v>103</v>
      </c>
      <c r="AB13" s="167" t="s">
        <v>88</v>
      </c>
      <c r="AC13" s="168"/>
      <c r="AD13" s="164"/>
    </row>
    <row r="14" customFormat="false" ht="15" hidden="false" customHeight="false" outlineLevel="0" collapsed="false">
      <c r="A14" s="165" t="s">
        <v>62</v>
      </c>
      <c r="B14" s="165" t="s">
        <v>111</v>
      </c>
      <c r="C14" s="166"/>
      <c r="D14" s="166"/>
      <c r="E14" s="166"/>
      <c r="F14" s="166"/>
      <c r="G14" s="166" t="n">
        <v>9</v>
      </c>
      <c r="H14" s="166"/>
      <c r="I14" s="166"/>
      <c r="J14" s="166"/>
      <c r="K14" s="166"/>
      <c r="L14" s="166"/>
      <c r="M14" s="166"/>
      <c r="N14" s="166" t="n">
        <v>3</v>
      </c>
      <c r="O14" s="166" t="n">
        <v>5</v>
      </c>
      <c r="P14" s="166" t="n">
        <v>3</v>
      </c>
      <c r="Q14" s="166" t="n">
        <v>5</v>
      </c>
      <c r="R14" s="166"/>
      <c r="S14" s="166"/>
      <c r="T14" s="166"/>
      <c r="U14" s="166"/>
      <c r="V14" s="166"/>
      <c r="W14" s="166"/>
      <c r="X14" s="166"/>
      <c r="Y14" s="166"/>
      <c r="Z14" s="166"/>
      <c r="AA14" s="167" t="s">
        <v>105</v>
      </c>
      <c r="AB14" s="167" t="s">
        <v>88</v>
      </c>
      <c r="AC14" s="168"/>
      <c r="AD14" s="164"/>
    </row>
    <row r="15" customFormat="false" ht="15" hidden="false" customHeight="false" outlineLevel="0" collapsed="false">
      <c r="A15" s="165" t="s">
        <v>38</v>
      </c>
      <c r="B15" s="165" t="s">
        <v>111</v>
      </c>
      <c r="C15" s="160" t="n">
        <v>8</v>
      </c>
      <c r="D15" s="160"/>
      <c r="E15" s="160" t="n">
        <v>8</v>
      </c>
      <c r="F15" s="160" t="n">
        <v>8</v>
      </c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7" t="s">
        <v>105</v>
      </c>
      <c r="AB15" s="167" t="s">
        <v>88</v>
      </c>
      <c r="AC15" s="168"/>
      <c r="AD15" s="164"/>
    </row>
    <row r="16" customFormat="false" ht="15" hidden="false" customHeight="false" outlineLevel="0" collapsed="false">
      <c r="A16" s="165" t="s">
        <v>34</v>
      </c>
      <c r="B16" s="165" t="s">
        <v>112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 t="n">
        <v>5</v>
      </c>
      <c r="W16" s="160"/>
      <c r="X16" s="160"/>
      <c r="Y16" s="160"/>
      <c r="Z16" s="160"/>
      <c r="AA16" s="167" t="s">
        <v>105</v>
      </c>
      <c r="AB16" s="167" t="s">
        <v>88</v>
      </c>
      <c r="AC16" s="168"/>
      <c r="AD16" s="164"/>
    </row>
    <row r="17" customFormat="false" ht="15" hidden="false" customHeight="false" outlineLevel="0" collapsed="false">
      <c r="A17" s="165" t="s">
        <v>80</v>
      </c>
      <c r="B17" s="165" t="s">
        <v>113</v>
      </c>
      <c r="C17" s="160" t="n">
        <v>3</v>
      </c>
      <c r="D17" s="160" t="n">
        <v>3</v>
      </c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7" t="s">
        <v>105</v>
      </c>
      <c r="AB17" s="167" t="s">
        <v>88</v>
      </c>
      <c r="AC17" s="168"/>
      <c r="AD17" s="164"/>
    </row>
    <row r="18" customFormat="false" ht="15" hidden="false" customHeight="false" outlineLevel="0" collapsed="false">
      <c r="A18" s="165" t="s">
        <v>78</v>
      </c>
      <c r="B18" s="165" t="s">
        <v>88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 t="n">
        <v>2</v>
      </c>
      <c r="Z18" s="166"/>
      <c r="AA18" s="167" t="s">
        <v>105</v>
      </c>
      <c r="AB18" s="167" t="s">
        <v>88</v>
      </c>
      <c r="AC18" s="168"/>
      <c r="AD18" s="164"/>
    </row>
    <row r="19" customFormat="false" ht="15" hidden="false" customHeight="false" outlineLevel="0" collapsed="false">
      <c r="A19" s="165" t="s">
        <v>65</v>
      </c>
      <c r="B19" s="165" t="s">
        <v>114</v>
      </c>
      <c r="C19" s="160"/>
      <c r="D19" s="160"/>
      <c r="E19" s="160"/>
      <c r="F19" s="160"/>
      <c r="G19" s="160"/>
      <c r="H19" s="160"/>
      <c r="I19" s="160"/>
      <c r="J19" s="160"/>
      <c r="K19" s="160" t="n">
        <v>2</v>
      </c>
      <c r="L19" s="160" t="n">
        <v>2</v>
      </c>
      <c r="M19" s="160" t="n">
        <v>2</v>
      </c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7" t="s">
        <v>105</v>
      </c>
      <c r="AB19" s="167" t="s">
        <v>88</v>
      </c>
      <c r="AC19" s="168"/>
      <c r="AD19" s="164"/>
    </row>
    <row r="20" customFormat="false" ht="15" hidden="false" customHeight="false" outlineLevel="0" collapsed="false">
      <c r="A20" s="165" t="s">
        <v>73</v>
      </c>
      <c r="B20" s="165" t="s">
        <v>102</v>
      </c>
      <c r="C20" s="166"/>
      <c r="D20" s="166"/>
      <c r="E20" s="166"/>
      <c r="F20" s="166"/>
      <c r="G20" s="166" t="n">
        <v>4</v>
      </c>
      <c r="H20" s="166" t="n">
        <v>4</v>
      </c>
      <c r="I20" s="166" t="n">
        <v>4</v>
      </c>
      <c r="J20" s="166"/>
      <c r="K20" s="166" t="n">
        <v>4</v>
      </c>
      <c r="L20" s="166" t="n">
        <v>4</v>
      </c>
      <c r="M20" s="166"/>
      <c r="N20" s="166"/>
      <c r="O20" s="166"/>
      <c r="P20" s="166" t="n">
        <v>4</v>
      </c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7" t="s">
        <v>103</v>
      </c>
      <c r="AB20" s="167" t="s">
        <v>88</v>
      </c>
      <c r="AC20" s="168"/>
      <c r="AD20" s="164"/>
    </row>
    <row r="21" customFormat="false" ht="15" hidden="false" customHeight="false" outlineLevel="0" collapsed="false">
      <c r="A21" s="165" t="s">
        <v>39</v>
      </c>
      <c r="B21" s="165" t="s">
        <v>113</v>
      </c>
      <c r="C21" s="166"/>
      <c r="D21" s="166"/>
      <c r="E21" s="166"/>
      <c r="F21" s="166"/>
      <c r="G21" s="166" t="n">
        <v>3</v>
      </c>
      <c r="H21" s="166" t="n">
        <v>3</v>
      </c>
      <c r="I21" s="166" t="n">
        <v>3</v>
      </c>
      <c r="J21" s="166" t="n">
        <v>3</v>
      </c>
      <c r="K21" s="166" t="n">
        <v>3</v>
      </c>
      <c r="L21" s="166" t="n">
        <v>3</v>
      </c>
      <c r="M21" s="166" t="n">
        <v>3</v>
      </c>
      <c r="N21" s="166" t="n">
        <v>2</v>
      </c>
      <c r="O21" s="166" t="n">
        <v>2</v>
      </c>
      <c r="P21" s="166" t="n">
        <v>2</v>
      </c>
      <c r="Q21" s="166" t="n">
        <v>2</v>
      </c>
      <c r="R21" s="166"/>
      <c r="S21" s="166"/>
      <c r="T21" s="166"/>
      <c r="U21" s="166"/>
      <c r="V21" s="166"/>
      <c r="W21" s="166"/>
      <c r="X21" s="166"/>
      <c r="Y21" s="166"/>
      <c r="Z21" s="166"/>
      <c r="AA21" s="167" t="s">
        <v>105</v>
      </c>
      <c r="AB21" s="167" t="s">
        <v>88</v>
      </c>
      <c r="AC21" s="168"/>
      <c r="AD21" s="164"/>
    </row>
    <row r="22" customFormat="false" ht="15" hidden="false" customHeight="false" outlineLevel="0" collapsed="false">
      <c r="A22" s="165" t="s">
        <v>35</v>
      </c>
      <c r="B22" s="165" t="s">
        <v>113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 t="n">
        <v>2</v>
      </c>
      <c r="W22" s="160" t="n">
        <v>2</v>
      </c>
      <c r="X22" s="160" t="n">
        <v>2</v>
      </c>
      <c r="Y22" s="160"/>
      <c r="Z22" s="160" t="n">
        <v>2</v>
      </c>
      <c r="AA22" s="167" t="s">
        <v>105</v>
      </c>
      <c r="AB22" s="167" t="s">
        <v>88</v>
      </c>
      <c r="AC22" s="168"/>
      <c r="AD22" s="164"/>
    </row>
    <row r="23" customFormat="false" ht="15" hidden="false" customHeight="false" outlineLevel="0" collapsed="false">
      <c r="A23" s="165" t="s">
        <v>35</v>
      </c>
      <c r="B23" s="165" t="s">
        <v>115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 t="n">
        <v>1</v>
      </c>
      <c r="W23" s="160" t="n">
        <v>3</v>
      </c>
      <c r="X23" s="160" t="n">
        <v>7</v>
      </c>
      <c r="Y23" s="160" t="n">
        <v>4</v>
      </c>
      <c r="Z23" s="160" t="n">
        <v>3</v>
      </c>
      <c r="AA23" s="167" t="s">
        <v>105</v>
      </c>
      <c r="AB23" s="167" t="s">
        <v>88</v>
      </c>
      <c r="AC23" s="168"/>
      <c r="AD23" s="164"/>
    </row>
    <row r="24" customFormat="false" ht="15" hidden="false" customHeight="false" outlineLevel="0" collapsed="false">
      <c r="A24" s="165" t="s">
        <v>56</v>
      </c>
      <c r="B24" s="165" t="s">
        <v>114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 t="n">
        <v>2</v>
      </c>
      <c r="O24" s="160" t="n">
        <v>2</v>
      </c>
      <c r="P24" s="160" t="n">
        <v>2</v>
      </c>
      <c r="Q24" s="160" t="n">
        <v>2</v>
      </c>
      <c r="R24" s="160" t="n">
        <v>3</v>
      </c>
      <c r="S24" s="160" t="n">
        <v>3</v>
      </c>
      <c r="T24" s="160" t="n">
        <v>3</v>
      </c>
      <c r="U24" s="160" t="n">
        <v>3</v>
      </c>
      <c r="V24" s="160" t="n">
        <v>1</v>
      </c>
      <c r="W24" s="160" t="n">
        <v>2</v>
      </c>
      <c r="X24" s="160" t="n">
        <v>1</v>
      </c>
      <c r="Y24" s="160" t="n">
        <v>1</v>
      </c>
      <c r="Z24" s="160" t="n">
        <v>2</v>
      </c>
      <c r="AA24" s="167" t="s">
        <v>105</v>
      </c>
      <c r="AB24" s="167" t="s">
        <v>88</v>
      </c>
      <c r="AC24" s="168"/>
      <c r="AD24" s="164"/>
    </row>
    <row r="25" customFormat="false" ht="15" hidden="false" customHeight="false" outlineLevel="0" collapsed="false">
      <c r="A25" s="165" t="s">
        <v>60</v>
      </c>
      <c r="B25" s="165" t="s">
        <v>116</v>
      </c>
      <c r="C25" s="160" t="n">
        <v>1</v>
      </c>
      <c r="D25" s="160" t="n">
        <v>1</v>
      </c>
      <c r="E25" s="160" t="n">
        <v>1</v>
      </c>
      <c r="F25" s="160" t="n">
        <v>1</v>
      </c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 t="n">
        <v>1</v>
      </c>
      <c r="W25" s="160" t="n">
        <v>1</v>
      </c>
      <c r="X25" s="160"/>
      <c r="Y25" s="160"/>
      <c r="Z25" s="160"/>
      <c r="AA25" s="167" t="s">
        <v>105</v>
      </c>
      <c r="AB25" s="167" t="s">
        <v>88</v>
      </c>
      <c r="AC25" s="168"/>
      <c r="AD25" s="164"/>
    </row>
    <row r="26" customFormat="false" ht="15" hidden="false" customHeight="false" outlineLevel="0" collapsed="false">
      <c r="A26" s="165" t="s">
        <v>60</v>
      </c>
      <c r="B26" s="165" t="s">
        <v>117</v>
      </c>
      <c r="C26" s="160" t="n">
        <v>1</v>
      </c>
      <c r="D26" s="160" t="n">
        <v>1</v>
      </c>
      <c r="E26" s="160" t="n">
        <v>1</v>
      </c>
      <c r="F26" s="160" t="n">
        <v>1</v>
      </c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 t="n">
        <v>1</v>
      </c>
      <c r="W26" s="160" t="n">
        <v>1</v>
      </c>
      <c r="X26" s="160" t="n">
        <v>1</v>
      </c>
      <c r="Y26" s="160" t="n">
        <v>1</v>
      </c>
      <c r="Z26" s="160" t="n">
        <v>1</v>
      </c>
      <c r="AA26" s="167" t="s">
        <v>105</v>
      </c>
      <c r="AB26" s="167" t="s">
        <v>88</v>
      </c>
      <c r="AC26" s="168"/>
      <c r="AD26" s="164"/>
    </row>
    <row r="27" customFormat="false" ht="15" hidden="false" customHeight="false" outlineLevel="0" collapsed="false">
      <c r="A27" s="165" t="s">
        <v>50</v>
      </c>
      <c r="B27" s="165" t="s">
        <v>102</v>
      </c>
      <c r="C27" s="166" t="n">
        <v>4</v>
      </c>
      <c r="D27" s="166" t="n">
        <v>5</v>
      </c>
      <c r="E27" s="166" t="n">
        <v>4</v>
      </c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 t="n">
        <v>3</v>
      </c>
      <c r="S27" s="166" t="n">
        <v>3</v>
      </c>
      <c r="T27" s="166" t="n">
        <v>3</v>
      </c>
      <c r="U27" s="166" t="n">
        <v>3</v>
      </c>
      <c r="V27" s="166"/>
      <c r="W27" s="166"/>
      <c r="X27" s="166"/>
      <c r="Y27" s="166"/>
      <c r="Z27" s="166" t="n">
        <v>4</v>
      </c>
      <c r="AA27" s="167" t="s">
        <v>103</v>
      </c>
      <c r="AB27" s="167" t="s">
        <v>88</v>
      </c>
      <c r="AC27" s="168"/>
      <c r="AD27" s="164"/>
    </row>
    <row r="28" customFormat="false" ht="15" hidden="false" customHeight="false" outlineLevel="0" collapsed="false">
      <c r="A28" s="169" t="s">
        <v>71</v>
      </c>
      <c r="B28" s="169" t="s">
        <v>106</v>
      </c>
      <c r="C28" s="166"/>
      <c r="D28" s="166"/>
      <c r="E28" s="166"/>
      <c r="F28" s="166"/>
      <c r="G28" s="166"/>
      <c r="H28" s="166" t="n">
        <v>1</v>
      </c>
      <c r="I28" s="166" t="n">
        <v>1</v>
      </c>
      <c r="J28" s="166" t="n">
        <v>2</v>
      </c>
      <c r="K28" s="166"/>
      <c r="L28" s="166" t="n">
        <v>1</v>
      </c>
      <c r="M28" s="166"/>
      <c r="N28" s="166" t="n">
        <v>1</v>
      </c>
      <c r="O28" s="166" t="n">
        <v>1</v>
      </c>
      <c r="P28" s="166" t="n">
        <v>1</v>
      </c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7" t="s">
        <v>103</v>
      </c>
      <c r="AB28" s="167" t="s">
        <v>88</v>
      </c>
      <c r="AC28" s="168"/>
      <c r="AD28" s="164"/>
    </row>
    <row r="29" customFormat="false" ht="15" hidden="false" customHeight="false" outlineLevel="0" collapsed="false">
      <c r="A29" s="169" t="s">
        <v>71</v>
      </c>
      <c r="B29" s="169" t="s">
        <v>118</v>
      </c>
      <c r="C29" s="166"/>
      <c r="D29" s="166"/>
      <c r="E29" s="166"/>
      <c r="F29" s="166"/>
      <c r="G29" s="166"/>
      <c r="H29" s="166" t="n">
        <v>3</v>
      </c>
      <c r="I29" s="166" t="n">
        <v>3</v>
      </c>
      <c r="J29" s="166" t="n">
        <v>3</v>
      </c>
      <c r="K29" s="166"/>
      <c r="L29" s="166" t="n">
        <v>3</v>
      </c>
      <c r="M29" s="166"/>
      <c r="N29" s="166" t="n">
        <v>3</v>
      </c>
      <c r="O29" s="166" t="n">
        <v>3</v>
      </c>
      <c r="P29" s="166" t="n">
        <v>3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7" t="s">
        <v>103</v>
      </c>
      <c r="AB29" s="167" t="s">
        <v>88</v>
      </c>
      <c r="AC29" s="168"/>
      <c r="AD29" s="164"/>
    </row>
    <row r="30" customFormat="false" ht="15" hidden="false" customHeight="false" outlineLevel="0" collapsed="false">
      <c r="A30" s="165" t="s">
        <v>52</v>
      </c>
      <c r="B30" s="165" t="s">
        <v>119</v>
      </c>
      <c r="C30" s="166"/>
      <c r="D30" s="166"/>
      <c r="E30" s="166"/>
      <c r="F30" s="166"/>
      <c r="G30" s="166"/>
      <c r="H30" s="166"/>
      <c r="I30" s="166"/>
      <c r="J30" s="166"/>
      <c r="K30" s="166" t="n">
        <v>1</v>
      </c>
      <c r="L30" s="166" t="n">
        <v>1</v>
      </c>
      <c r="M30" s="166" t="n">
        <v>1</v>
      </c>
      <c r="N30" s="166" t="n">
        <v>1</v>
      </c>
      <c r="O30" s="166" t="n">
        <v>1</v>
      </c>
      <c r="P30" s="166" t="n">
        <v>1</v>
      </c>
      <c r="Q30" s="166" t="n">
        <v>1</v>
      </c>
      <c r="R30" s="166" t="n">
        <v>1</v>
      </c>
      <c r="S30" s="166" t="n">
        <v>1</v>
      </c>
      <c r="T30" s="166" t="n">
        <v>1</v>
      </c>
      <c r="U30" s="166" t="n">
        <v>1</v>
      </c>
      <c r="V30" s="166" t="n">
        <v>1</v>
      </c>
      <c r="W30" s="166" t="n">
        <v>1</v>
      </c>
      <c r="X30" s="166" t="n">
        <v>1</v>
      </c>
      <c r="Y30" s="166" t="n">
        <v>1</v>
      </c>
      <c r="Z30" s="166" t="n">
        <v>2</v>
      </c>
      <c r="AA30" s="167" t="s">
        <v>103</v>
      </c>
      <c r="AB30" s="167" t="s">
        <v>88</v>
      </c>
      <c r="AC30" s="168"/>
      <c r="AD30" s="164"/>
    </row>
    <row r="31" customFormat="false" ht="15" hidden="false" customHeight="false" outlineLevel="0" collapsed="false">
      <c r="A31" s="165" t="s">
        <v>52</v>
      </c>
      <c r="B31" s="165" t="s">
        <v>120</v>
      </c>
      <c r="C31" s="166"/>
      <c r="D31" s="166"/>
      <c r="E31" s="166"/>
      <c r="F31" s="166"/>
      <c r="G31" s="166" t="n">
        <v>2</v>
      </c>
      <c r="H31" s="166" t="n">
        <v>2</v>
      </c>
      <c r="I31" s="166"/>
      <c r="J31" s="166"/>
      <c r="K31" s="166"/>
      <c r="L31" s="166"/>
      <c r="M31" s="166"/>
      <c r="N31" s="166" t="n">
        <v>1</v>
      </c>
      <c r="O31" s="166" t="n">
        <v>1</v>
      </c>
      <c r="P31" s="166" t="n">
        <v>1</v>
      </c>
      <c r="Q31" s="166" t="n">
        <v>1</v>
      </c>
      <c r="R31" s="166"/>
      <c r="S31" s="166"/>
      <c r="T31" s="166"/>
      <c r="U31" s="166"/>
      <c r="V31" s="166"/>
      <c r="W31" s="166"/>
      <c r="X31" s="166"/>
      <c r="Y31" s="166"/>
      <c r="Z31" s="166"/>
      <c r="AA31" s="167" t="s">
        <v>105</v>
      </c>
      <c r="AB31" s="167" t="s">
        <v>88</v>
      </c>
      <c r="AC31" s="168"/>
      <c r="AD31" s="164"/>
    </row>
    <row r="32" customFormat="false" ht="15" hidden="false" customHeight="false" outlineLevel="0" collapsed="false">
      <c r="A32" s="165" t="s">
        <v>36</v>
      </c>
      <c r="B32" s="165" t="s">
        <v>106</v>
      </c>
      <c r="C32" s="160"/>
      <c r="D32" s="160"/>
      <c r="E32" s="160"/>
      <c r="F32" s="160" t="n">
        <v>4</v>
      </c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7" t="s">
        <v>103</v>
      </c>
      <c r="AB32" s="167" t="s">
        <v>88</v>
      </c>
      <c r="AC32" s="168"/>
      <c r="AD32" s="164"/>
    </row>
    <row r="33" customFormat="false" ht="15" hidden="false" customHeight="false" outlineLevel="0" collapsed="false">
      <c r="A33" s="165" t="s">
        <v>58</v>
      </c>
      <c r="B33" s="165" t="s">
        <v>111</v>
      </c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 t="n">
        <v>6</v>
      </c>
      <c r="T33" s="160" t="n">
        <v>3</v>
      </c>
      <c r="U33" s="160" t="n">
        <v>6</v>
      </c>
      <c r="V33" s="160"/>
      <c r="W33" s="160"/>
      <c r="X33" s="160" t="n">
        <v>5</v>
      </c>
      <c r="Y33" s="160" t="n">
        <v>9</v>
      </c>
      <c r="Z33" s="160"/>
      <c r="AA33" s="167" t="s">
        <v>105</v>
      </c>
      <c r="AB33" s="167" t="s">
        <v>88</v>
      </c>
      <c r="AC33" s="168"/>
      <c r="AD33" s="164"/>
    </row>
    <row r="34" customFormat="false" ht="15" hidden="false" customHeight="false" outlineLevel="0" collapsed="false">
      <c r="A34" s="165" t="s">
        <v>30</v>
      </c>
      <c r="B34" s="165" t="s">
        <v>102</v>
      </c>
      <c r="C34" s="166" t="n">
        <v>4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 t="n">
        <v>5</v>
      </c>
      <c r="W34" s="166" t="n">
        <v>4</v>
      </c>
      <c r="X34" s="166" t="n">
        <v>5</v>
      </c>
      <c r="Y34" s="166" t="n">
        <v>5</v>
      </c>
      <c r="Z34" s="166" t="n">
        <v>4</v>
      </c>
      <c r="AA34" s="167" t="s">
        <v>103</v>
      </c>
      <c r="AB34" s="167" t="s">
        <v>88</v>
      </c>
      <c r="AC34" s="168"/>
      <c r="AD34" s="164"/>
    </row>
    <row r="35" customFormat="false" ht="15" hidden="false" customHeight="false" outlineLevel="0" collapsed="false">
      <c r="A35" s="165" t="s">
        <v>64</v>
      </c>
      <c r="B35" s="165" t="s">
        <v>121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 t="n">
        <v>1</v>
      </c>
      <c r="O35" s="160" t="n">
        <v>1</v>
      </c>
      <c r="P35" s="160" t="n">
        <v>1</v>
      </c>
      <c r="Q35" s="160" t="n">
        <v>1</v>
      </c>
      <c r="R35" s="160" t="n">
        <v>1</v>
      </c>
      <c r="S35" s="160" t="n">
        <v>1</v>
      </c>
      <c r="T35" s="160" t="n">
        <v>1</v>
      </c>
      <c r="U35" s="160" t="n">
        <v>1</v>
      </c>
      <c r="V35" s="160"/>
      <c r="W35" s="160"/>
      <c r="X35" s="160"/>
      <c r="Y35" s="160"/>
      <c r="Z35" s="160"/>
      <c r="AA35" s="167" t="s">
        <v>105</v>
      </c>
      <c r="AB35" s="167" t="s">
        <v>88</v>
      </c>
      <c r="AC35" s="168"/>
      <c r="AD35" s="164"/>
    </row>
    <row r="36" customFormat="false" ht="15" hidden="false" customHeight="false" outlineLevel="0" collapsed="false">
      <c r="A36" s="165" t="s">
        <v>64</v>
      </c>
      <c r="B36" s="165" t="s">
        <v>113</v>
      </c>
      <c r="C36" s="160"/>
      <c r="D36" s="160"/>
      <c r="E36" s="160" t="n">
        <v>3</v>
      </c>
      <c r="F36" s="160" t="n">
        <v>3</v>
      </c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 t="n">
        <v>2</v>
      </c>
      <c r="S36" s="160" t="n">
        <v>2</v>
      </c>
      <c r="T36" s="160" t="n">
        <v>2</v>
      </c>
      <c r="U36" s="160" t="n">
        <v>2</v>
      </c>
      <c r="V36" s="160"/>
      <c r="W36" s="160"/>
      <c r="X36" s="160"/>
      <c r="Y36" s="160" t="n">
        <v>2</v>
      </c>
      <c r="Z36" s="160"/>
      <c r="AA36" s="167" t="s">
        <v>105</v>
      </c>
      <c r="AB36" s="167" t="s">
        <v>88</v>
      </c>
      <c r="AC36" s="168"/>
      <c r="AD36" s="164"/>
    </row>
    <row r="37" customFormat="false" ht="15" hidden="false" customHeight="false" outlineLevel="0" collapsed="false">
      <c r="A37" s="165" t="s">
        <v>72</v>
      </c>
      <c r="B37" s="165" t="s">
        <v>109</v>
      </c>
      <c r="C37" s="160"/>
      <c r="D37" s="160"/>
      <c r="E37" s="160"/>
      <c r="F37" s="160"/>
      <c r="G37" s="160"/>
      <c r="H37" s="160"/>
      <c r="I37" s="160"/>
      <c r="J37" s="160"/>
      <c r="K37" s="160" t="n">
        <v>7</v>
      </c>
      <c r="L37" s="160" t="n">
        <v>7</v>
      </c>
      <c r="M37" s="160"/>
      <c r="N37" s="160"/>
      <c r="O37" s="160"/>
      <c r="P37" s="160" t="n">
        <v>7</v>
      </c>
      <c r="Q37" s="160"/>
      <c r="R37" s="160"/>
      <c r="S37" s="160"/>
      <c r="T37" s="160" t="n">
        <v>7</v>
      </c>
      <c r="U37" s="160"/>
      <c r="V37" s="160"/>
      <c r="W37" s="160"/>
      <c r="X37" s="160"/>
      <c r="Y37" s="160"/>
      <c r="Z37" s="160"/>
      <c r="AA37" s="167" t="s">
        <v>105</v>
      </c>
      <c r="AB37" s="167" t="s">
        <v>88</v>
      </c>
      <c r="AC37" s="168"/>
      <c r="AD37" s="164"/>
    </row>
    <row r="38" customFormat="false" ht="15" hidden="false" customHeight="false" outlineLevel="0" collapsed="false">
      <c r="A38" s="165" t="s">
        <v>61</v>
      </c>
      <c r="B38" s="165" t="s">
        <v>122</v>
      </c>
      <c r="C38" s="160"/>
      <c r="D38" s="160"/>
      <c r="E38" s="160"/>
      <c r="F38" s="160"/>
      <c r="G38" s="160" t="n">
        <v>1</v>
      </c>
      <c r="H38" s="160" t="n">
        <v>1</v>
      </c>
      <c r="I38" s="160" t="n">
        <v>1</v>
      </c>
      <c r="J38" s="160" t="n">
        <v>1</v>
      </c>
      <c r="K38" s="160" t="n">
        <v>1</v>
      </c>
      <c r="L38" s="160" t="n">
        <v>1</v>
      </c>
      <c r="M38" s="160" t="n">
        <v>1</v>
      </c>
      <c r="N38" s="160" t="n">
        <v>2</v>
      </c>
      <c r="O38" s="160" t="n">
        <v>2</v>
      </c>
      <c r="P38" s="160" t="n">
        <v>2</v>
      </c>
      <c r="Q38" s="160" t="n">
        <v>2</v>
      </c>
      <c r="R38" s="160" t="n">
        <v>2</v>
      </c>
      <c r="S38" s="160" t="n">
        <v>2</v>
      </c>
      <c r="T38" s="160" t="n">
        <v>2</v>
      </c>
      <c r="U38" s="160" t="n">
        <v>2</v>
      </c>
      <c r="V38" s="160"/>
      <c r="W38" s="160"/>
      <c r="X38" s="160" t="n">
        <v>1</v>
      </c>
      <c r="Y38" s="160" t="n">
        <v>1</v>
      </c>
      <c r="Z38" s="160" t="n">
        <v>1</v>
      </c>
      <c r="AA38" s="167" t="s">
        <v>105</v>
      </c>
      <c r="AB38" s="167" t="s">
        <v>88</v>
      </c>
      <c r="AC38" s="168"/>
      <c r="AD38" s="164"/>
    </row>
    <row r="39" customFormat="false" ht="15" hidden="false" customHeight="false" outlineLevel="0" collapsed="false">
      <c r="A39" s="165" t="s">
        <v>32</v>
      </c>
      <c r="B39" s="165" t="s">
        <v>102</v>
      </c>
      <c r="C39" s="166"/>
      <c r="D39" s="166" t="n">
        <v>5</v>
      </c>
      <c r="E39" s="166" t="n">
        <v>4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 t="n">
        <v>5</v>
      </c>
      <c r="W39" s="166" t="n">
        <v>4</v>
      </c>
      <c r="X39" s="166" t="n">
        <v>5</v>
      </c>
      <c r="Y39" s="166" t="n">
        <v>5</v>
      </c>
      <c r="Z39" s="166"/>
      <c r="AA39" s="167" t="s">
        <v>103</v>
      </c>
      <c r="AB39" s="167" t="s">
        <v>88</v>
      </c>
      <c r="AC39" s="168"/>
      <c r="AD39" s="164"/>
    </row>
    <row r="40" customFormat="false" ht="15" hidden="false" customHeight="false" outlineLevel="0" collapsed="false">
      <c r="A40" s="165" t="s">
        <v>67</v>
      </c>
      <c r="B40" s="165" t="s">
        <v>117</v>
      </c>
      <c r="C40" s="160"/>
      <c r="D40" s="160"/>
      <c r="E40" s="160"/>
      <c r="F40" s="160"/>
      <c r="G40" s="160" t="n">
        <v>1</v>
      </c>
      <c r="H40" s="160" t="n">
        <v>1</v>
      </c>
      <c r="I40" s="160" t="n">
        <v>1</v>
      </c>
      <c r="J40" s="160" t="n">
        <v>1</v>
      </c>
      <c r="K40" s="160" t="n">
        <v>2</v>
      </c>
      <c r="L40" s="160" t="n">
        <v>2</v>
      </c>
      <c r="M40" s="160" t="n">
        <v>2</v>
      </c>
      <c r="N40" s="160" t="n">
        <v>2</v>
      </c>
      <c r="O40" s="160" t="n">
        <v>2</v>
      </c>
      <c r="P40" s="160" t="n">
        <v>2</v>
      </c>
      <c r="Q40" s="160" t="n">
        <v>2</v>
      </c>
      <c r="R40" s="160" t="n">
        <v>2</v>
      </c>
      <c r="S40" s="160" t="n">
        <v>2</v>
      </c>
      <c r="T40" s="160" t="n">
        <v>2</v>
      </c>
      <c r="U40" s="160" t="n">
        <v>2</v>
      </c>
      <c r="V40" s="160"/>
      <c r="W40" s="160"/>
      <c r="X40" s="160"/>
      <c r="Y40" s="160"/>
      <c r="Z40" s="160"/>
      <c r="AA40" s="167" t="s">
        <v>105</v>
      </c>
      <c r="AB40" s="167" t="s">
        <v>88</v>
      </c>
      <c r="AC40" s="168"/>
      <c r="AD40" s="164"/>
    </row>
    <row r="41" customFormat="false" ht="15" hidden="false" customHeight="false" outlineLevel="0" collapsed="false">
      <c r="A41" s="165" t="s">
        <v>68</v>
      </c>
      <c r="B41" s="165" t="s">
        <v>111</v>
      </c>
      <c r="C41" s="160"/>
      <c r="D41" s="160"/>
      <c r="E41" s="160"/>
      <c r="F41" s="160"/>
      <c r="G41" s="160"/>
      <c r="H41" s="160" t="n">
        <v>9</v>
      </c>
      <c r="I41" s="160"/>
      <c r="J41" s="160"/>
      <c r="K41" s="160" t="n">
        <v>6</v>
      </c>
      <c r="L41" s="160" t="n">
        <v>6</v>
      </c>
      <c r="M41" s="160" t="n">
        <v>6</v>
      </c>
      <c r="N41" s="160" t="n">
        <v>2</v>
      </c>
      <c r="O41" s="160"/>
      <c r="P41" s="160" t="n">
        <v>2</v>
      </c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7" t="s">
        <v>105</v>
      </c>
      <c r="AB41" s="167" t="s">
        <v>88</v>
      </c>
      <c r="AC41" s="168"/>
      <c r="AD41" s="164"/>
    </row>
    <row r="42" customFormat="false" ht="15" hidden="false" customHeight="false" outlineLevel="0" collapsed="false">
      <c r="A42" s="165" t="s">
        <v>55</v>
      </c>
      <c r="B42" s="165" t="s">
        <v>110</v>
      </c>
      <c r="C42" s="160" t="n">
        <v>2</v>
      </c>
      <c r="D42" s="160" t="n">
        <v>2</v>
      </c>
      <c r="E42" s="160" t="n">
        <v>2</v>
      </c>
      <c r="F42" s="160" t="n">
        <v>2</v>
      </c>
      <c r="G42" s="170"/>
      <c r="H42" s="170"/>
      <c r="I42" s="170"/>
      <c r="J42" s="160"/>
      <c r="K42" s="160" t="n">
        <v>2</v>
      </c>
      <c r="L42" s="160" t="n">
        <v>2</v>
      </c>
      <c r="M42" s="160" t="n">
        <v>2</v>
      </c>
      <c r="N42" s="160"/>
      <c r="O42" s="160"/>
      <c r="P42" s="160"/>
      <c r="Q42" s="160"/>
      <c r="R42" s="160" t="n">
        <v>1</v>
      </c>
      <c r="S42" s="160" t="n">
        <v>1</v>
      </c>
      <c r="T42" s="160" t="n">
        <v>1</v>
      </c>
      <c r="U42" s="160" t="n">
        <v>1</v>
      </c>
      <c r="V42" s="160"/>
      <c r="W42" s="160"/>
      <c r="X42" s="160"/>
      <c r="Y42" s="160"/>
      <c r="Z42" s="160"/>
      <c r="AA42" s="167" t="s">
        <v>103</v>
      </c>
      <c r="AB42" s="167" t="s">
        <v>88</v>
      </c>
      <c r="AC42" s="168"/>
      <c r="AD42" s="164"/>
    </row>
    <row r="43" customFormat="false" ht="15" hidden="false" customHeight="false" outlineLevel="0" collapsed="false">
      <c r="A43" s="165" t="s">
        <v>55</v>
      </c>
      <c r="B43" s="165" t="s">
        <v>123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 t="n">
        <v>1</v>
      </c>
      <c r="S43" s="160" t="n">
        <v>1</v>
      </c>
      <c r="T43" s="160" t="n">
        <v>1</v>
      </c>
      <c r="U43" s="160" t="n">
        <v>1</v>
      </c>
      <c r="V43" s="160" t="n">
        <v>1</v>
      </c>
      <c r="W43" s="160" t="n">
        <v>1</v>
      </c>
      <c r="X43" s="160" t="n">
        <v>1</v>
      </c>
      <c r="Y43" s="160" t="n">
        <v>1</v>
      </c>
      <c r="Z43" s="160" t="n">
        <v>1</v>
      </c>
      <c r="AA43" s="167" t="s">
        <v>105</v>
      </c>
      <c r="AB43" s="167" t="s">
        <v>88</v>
      </c>
      <c r="AC43" s="168"/>
      <c r="AD43" s="164"/>
    </row>
    <row r="44" customFormat="false" ht="15" hidden="false" customHeight="false" outlineLevel="0" collapsed="false">
      <c r="A44" s="169" t="s">
        <v>25</v>
      </c>
      <c r="B44" s="169" t="s">
        <v>124</v>
      </c>
      <c r="C44" s="160" t="n">
        <v>2</v>
      </c>
      <c r="D44" s="160" t="n">
        <v>2</v>
      </c>
      <c r="E44" s="160" t="n">
        <v>2</v>
      </c>
      <c r="F44" s="160" t="n">
        <v>2</v>
      </c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 t="n">
        <v>2</v>
      </c>
      <c r="S44" s="160" t="n">
        <v>2</v>
      </c>
      <c r="T44" s="160" t="n">
        <v>2</v>
      </c>
      <c r="U44" s="160" t="n">
        <v>2</v>
      </c>
      <c r="V44" s="160" t="n">
        <v>1</v>
      </c>
      <c r="W44" s="160" t="n">
        <v>3</v>
      </c>
      <c r="X44" s="160" t="n">
        <v>1</v>
      </c>
      <c r="Y44" s="160" t="n">
        <v>1</v>
      </c>
      <c r="Z44" s="160" t="n">
        <v>3</v>
      </c>
      <c r="AA44" s="167" t="s">
        <v>105</v>
      </c>
      <c r="AB44" s="167" t="s">
        <v>88</v>
      </c>
      <c r="AC44" s="168"/>
      <c r="AD44" s="164"/>
    </row>
    <row r="45" customFormat="false" ht="15" hidden="false" customHeight="false" outlineLevel="0" collapsed="false">
      <c r="A45" s="165" t="s">
        <v>74</v>
      </c>
      <c r="B45" s="165" t="s">
        <v>109</v>
      </c>
      <c r="C45" s="160"/>
      <c r="D45" s="160"/>
      <c r="E45" s="160"/>
      <c r="F45" s="160"/>
      <c r="G45" s="160" t="n">
        <v>6</v>
      </c>
      <c r="H45" s="160" t="n">
        <v>6</v>
      </c>
      <c r="I45" s="160" t="n">
        <v>6</v>
      </c>
      <c r="J45" s="160" t="n">
        <v>5</v>
      </c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7" t="s">
        <v>105</v>
      </c>
      <c r="AB45" s="167" t="s">
        <v>88</v>
      </c>
      <c r="AC45" s="168"/>
      <c r="AD45" s="164"/>
    </row>
    <row r="46" customFormat="false" ht="15" hidden="false" customHeight="false" outlineLevel="0" collapsed="false">
      <c r="A46" s="169" t="s">
        <v>74</v>
      </c>
      <c r="B46" s="169" t="s">
        <v>123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 t="n">
        <v>1</v>
      </c>
      <c r="O46" s="160" t="n">
        <v>1</v>
      </c>
      <c r="P46" s="160" t="n">
        <v>1</v>
      </c>
      <c r="Q46" s="160" t="n">
        <v>1</v>
      </c>
      <c r="R46" s="160"/>
      <c r="S46" s="160"/>
      <c r="T46" s="160"/>
      <c r="U46" s="160"/>
      <c r="V46" s="160"/>
      <c r="W46" s="160"/>
      <c r="X46" s="160"/>
      <c r="Y46" s="160"/>
      <c r="Z46" s="160"/>
      <c r="AA46" s="167" t="s">
        <v>105</v>
      </c>
      <c r="AB46" s="167" t="s">
        <v>88</v>
      </c>
      <c r="AC46" s="168"/>
      <c r="AD46" s="164"/>
    </row>
    <row r="47" customFormat="false" ht="15" hidden="false" customHeight="false" outlineLevel="0" collapsed="false">
      <c r="A47" s="169" t="s">
        <v>76</v>
      </c>
      <c r="B47" s="169" t="s">
        <v>125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 t="n">
        <v>1</v>
      </c>
      <c r="W47" s="160" t="n">
        <v>1</v>
      </c>
      <c r="X47" s="160"/>
      <c r="Y47" s="160"/>
      <c r="Z47" s="160"/>
      <c r="AA47" s="167" t="s">
        <v>105</v>
      </c>
      <c r="AB47" s="167" t="s">
        <v>88</v>
      </c>
      <c r="AC47" s="168"/>
      <c r="AD47" s="164"/>
    </row>
    <row r="48" customFormat="false" ht="15" hidden="false" customHeight="false" outlineLevel="0" collapsed="false">
      <c r="A48" s="165" t="s">
        <v>53</v>
      </c>
      <c r="B48" s="165" t="s">
        <v>119</v>
      </c>
      <c r="C48" s="166"/>
      <c r="D48" s="166"/>
      <c r="E48" s="166"/>
      <c r="F48" s="166"/>
      <c r="G48" s="166"/>
      <c r="H48" s="166"/>
      <c r="I48" s="166"/>
      <c r="J48" s="166"/>
      <c r="K48" s="166" t="n">
        <v>1</v>
      </c>
      <c r="L48" s="166" t="n">
        <v>1</v>
      </c>
      <c r="M48" s="166" t="n">
        <v>1</v>
      </c>
      <c r="N48" s="166" t="n">
        <v>1</v>
      </c>
      <c r="O48" s="166" t="n">
        <v>1</v>
      </c>
      <c r="P48" s="166" t="n">
        <v>1</v>
      </c>
      <c r="Q48" s="166" t="n">
        <v>1</v>
      </c>
      <c r="R48" s="166" t="n">
        <v>1</v>
      </c>
      <c r="S48" s="166" t="n">
        <v>1</v>
      </c>
      <c r="T48" s="166" t="n">
        <v>1</v>
      </c>
      <c r="U48" s="166" t="n">
        <v>1</v>
      </c>
      <c r="V48" s="166" t="n">
        <v>1</v>
      </c>
      <c r="W48" s="166" t="n">
        <v>1</v>
      </c>
      <c r="X48" s="166" t="n">
        <v>1</v>
      </c>
      <c r="Y48" s="166" t="n">
        <v>1</v>
      </c>
      <c r="Z48" s="166" t="n">
        <v>2</v>
      </c>
      <c r="AA48" s="167" t="s">
        <v>103</v>
      </c>
      <c r="AB48" s="167" t="s">
        <v>88</v>
      </c>
      <c r="AC48" s="168"/>
      <c r="AD48" s="164"/>
    </row>
    <row r="49" customFormat="false" ht="15" hidden="false" customHeight="false" outlineLevel="0" collapsed="false">
      <c r="A49" s="165" t="s">
        <v>53</v>
      </c>
      <c r="B49" s="165" t="s">
        <v>110</v>
      </c>
      <c r="C49" s="166"/>
      <c r="D49" s="166"/>
      <c r="E49" s="166"/>
      <c r="F49" s="166"/>
      <c r="G49" s="166"/>
      <c r="H49" s="166"/>
      <c r="I49" s="166" t="n">
        <v>2</v>
      </c>
      <c r="J49" s="166" t="n">
        <v>2</v>
      </c>
      <c r="K49" s="166"/>
      <c r="L49" s="166"/>
      <c r="M49" s="166"/>
      <c r="N49" s="166" t="n">
        <v>1</v>
      </c>
      <c r="O49" s="166" t="n">
        <v>1</v>
      </c>
      <c r="P49" s="166" t="n">
        <v>1</v>
      </c>
      <c r="Q49" s="166" t="n">
        <v>1</v>
      </c>
      <c r="R49" s="166"/>
      <c r="S49" s="166"/>
      <c r="T49" s="166"/>
      <c r="U49" s="166"/>
      <c r="V49" s="166"/>
      <c r="W49" s="166"/>
      <c r="X49" s="166"/>
      <c r="Y49" s="166"/>
      <c r="Z49" s="166"/>
      <c r="AA49" s="167" t="s">
        <v>103</v>
      </c>
      <c r="AB49" s="167" t="s">
        <v>88</v>
      </c>
      <c r="AC49" s="168"/>
      <c r="AD49" s="164"/>
    </row>
    <row r="50" customFormat="false" ht="15" hidden="false" customHeight="false" outlineLevel="0" collapsed="false">
      <c r="A50" s="165" t="s">
        <v>9</v>
      </c>
      <c r="B50" s="165" t="s">
        <v>115</v>
      </c>
      <c r="C50" s="160"/>
      <c r="D50" s="160" t="n">
        <v>8</v>
      </c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 t="n">
        <v>5</v>
      </c>
      <c r="W50" s="160" t="n">
        <v>5</v>
      </c>
      <c r="X50" s="160"/>
      <c r="Y50" s="160"/>
      <c r="Z50" s="160" t="n">
        <v>6</v>
      </c>
      <c r="AA50" s="167" t="s">
        <v>105</v>
      </c>
      <c r="AB50" s="167" t="s">
        <v>88</v>
      </c>
      <c r="AC50" s="168"/>
      <c r="AD50" s="164"/>
    </row>
    <row r="51" customFormat="false" ht="15" hidden="false" customHeight="false" outlineLevel="0" collapsed="false">
      <c r="A51" s="165" t="s">
        <v>77</v>
      </c>
      <c r="B51" s="165" t="s">
        <v>107</v>
      </c>
      <c r="C51" s="160"/>
      <c r="D51" s="160"/>
      <c r="E51" s="160"/>
      <c r="F51" s="160"/>
      <c r="G51" s="160" t="n">
        <v>1</v>
      </c>
      <c r="H51" s="160" t="n">
        <v>1</v>
      </c>
      <c r="I51" s="160" t="n">
        <v>1</v>
      </c>
      <c r="J51" s="160" t="n">
        <v>1</v>
      </c>
      <c r="K51" s="160" t="n">
        <v>1</v>
      </c>
      <c r="L51" s="160" t="n">
        <v>1</v>
      </c>
      <c r="M51" s="160" t="n">
        <v>1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7" t="s">
        <v>105</v>
      </c>
      <c r="AB51" s="167" t="s">
        <v>88</v>
      </c>
      <c r="AC51" s="168"/>
      <c r="AD51" s="164"/>
    </row>
    <row r="52" customFormat="false" ht="15" hidden="false" customHeight="false" outlineLevel="0" collapsed="false">
      <c r="A52" s="165" t="s">
        <v>66</v>
      </c>
      <c r="B52" s="165" t="s">
        <v>111</v>
      </c>
      <c r="C52" s="160"/>
      <c r="D52" s="160"/>
      <c r="E52" s="160"/>
      <c r="F52" s="160"/>
      <c r="G52" s="160"/>
      <c r="H52" s="160"/>
      <c r="I52" s="160" t="n">
        <v>9</v>
      </c>
      <c r="J52" s="160" t="n">
        <v>9</v>
      </c>
      <c r="K52" s="160"/>
      <c r="L52" s="160"/>
      <c r="M52" s="160"/>
      <c r="N52" s="160"/>
      <c r="O52" s="160"/>
      <c r="P52" s="160"/>
      <c r="Q52" s="160"/>
      <c r="R52" s="160" t="n">
        <v>6</v>
      </c>
      <c r="S52" s="160"/>
      <c r="T52" s="160" t="n">
        <v>3</v>
      </c>
      <c r="U52" s="160"/>
      <c r="V52" s="160"/>
      <c r="W52" s="160"/>
      <c r="X52" s="160"/>
      <c r="Y52" s="160"/>
      <c r="Z52" s="160"/>
      <c r="AA52" s="167" t="s">
        <v>105</v>
      </c>
      <c r="AB52" s="167" t="s">
        <v>88</v>
      </c>
      <c r="AC52" s="168"/>
      <c r="AD52" s="164"/>
    </row>
    <row r="53" customFormat="false" ht="15" hidden="false" customHeight="false" outlineLevel="0" collapsed="false">
      <c r="A53" s="165" t="s">
        <v>75</v>
      </c>
      <c r="B53" s="165" t="s">
        <v>124</v>
      </c>
      <c r="C53" s="166"/>
      <c r="D53" s="166"/>
      <c r="E53" s="166"/>
      <c r="F53" s="166"/>
      <c r="G53" s="166" t="n">
        <v>2</v>
      </c>
      <c r="H53" s="166" t="n">
        <v>2</v>
      </c>
      <c r="I53" s="166" t="n">
        <v>2</v>
      </c>
      <c r="J53" s="166" t="n">
        <v>2</v>
      </c>
      <c r="K53" s="166" t="n">
        <v>2</v>
      </c>
      <c r="L53" s="166" t="n">
        <v>2</v>
      </c>
      <c r="M53" s="166" t="n">
        <v>2</v>
      </c>
      <c r="N53" s="166" t="n">
        <v>2</v>
      </c>
      <c r="O53" s="166" t="n">
        <v>2</v>
      </c>
      <c r="P53" s="166" t="n">
        <v>2</v>
      </c>
      <c r="Q53" s="166" t="n">
        <v>2</v>
      </c>
      <c r="R53" s="166"/>
      <c r="S53" s="166"/>
      <c r="T53" s="166"/>
      <c r="U53" s="166"/>
      <c r="V53" s="166"/>
      <c r="W53" s="166"/>
      <c r="X53" s="166"/>
      <c r="Y53" s="166"/>
      <c r="Z53" s="166"/>
      <c r="AA53" s="167" t="s">
        <v>105</v>
      </c>
      <c r="AB53" s="167" t="s">
        <v>88</v>
      </c>
      <c r="AC53" s="168"/>
      <c r="AD53" s="164"/>
    </row>
  </sheetData>
  <dataValidations count="2">
    <dataValidation allowBlank="true" errorStyle="stop" operator="between" showDropDown="false" showErrorMessage="true" showInputMessage="true" sqref="A2:A52" type="list">
      <formula1>'База данных'!$A$2:$A$43</formula1>
      <formula2>0</formula2>
    </dataValidation>
    <dataValidation allowBlank="true" errorStyle="stop" operator="between" showDropDown="false" showErrorMessage="true" showInputMessage="true" sqref="C1:Z1" type="list">
      <formula1>'База данных'!$D$2:$AA$2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6" activeCellId="0" sqref="W16"/>
    </sheetView>
  </sheetViews>
  <sheetFormatPr defaultColWidth="8.5703125" defaultRowHeight="15" zeroHeight="false" outlineLevelRow="0" outlineLevelCol="0"/>
  <cols>
    <col collapsed="false" customWidth="true" hidden="false" outlineLevel="0" max="1" min="1" style="158" width="21.71"/>
    <col collapsed="false" customWidth="true" hidden="false" outlineLevel="0" max="4" min="4" style="158" width="3.29"/>
    <col collapsed="false" customWidth="true" hidden="false" outlineLevel="0" max="5" min="5" style="158" width="3.57"/>
    <col collapsed="false" customWidth="true" hidden="false" outlineLevel="0" max="6" min="6" style="158" width="3.42"/>
    <col collapsed="false" customWidth="true" hidden="false" outlineLevel="0" max="8" min="7" style="158" width="3.29"/>
    <col collapsed="false" customWidth="true" hidden="false" outlineLevel="0" max="9" min="9" style="158" width="3.42"/>
    <col collapsed="false" customWidth="true" hidden="false" outlineLevel="0" max="10" min="10" style="158" width="3.29"/>
    <col collapsed="false" customWidth="true" hidden="false" outlineLevel="0" max="11" min="11" style="158" width="3.15"/>
    <col collapsed="false" customWidth="true" hidden="false" outlineLevel="0" max="12" min="12" style="158" width="3.29"/>
    <col collapsed="false" customWidth="true" hidden="false" outlineLevel="0" max="13" min="13" style="158" width="3.57"/>
    <col collapsed="false" customWidth="true" hidden="false" outlineLevel="0" max="14" min="14" style="158" width="3.42"/>
    <col collapsed="false" customWidth="true" hidden="false" outlineLevel="0" max="15" min="15" style="158" width="3.15"/>
    <col collapsed="false" customWidth="true" hidden="false" outlineLevel="0" max="16" min="16" style="158" width="3.29"/>
    <col collapsed="false" customWidth="true" hidden="false" outlineLevel="0" max="17" min="17" style="158" width="3.57"/>
    <col collapsed="false" customWidth="true" hidden="false" outlineLevel="0" max="18" min="18" style="158" width="3.15"/>
    <col collapsed="false" customWidth="true" hidden="false" outlineLevel="0" max="19" min="19" style="158" width="3.42"/>
    <col collapsed="false" customWidth="true" hidden="false" outlineLevel="0" max="20" min="20" style="158" width="3.29"/>
    <col collapsed="false" customWidth="true" hidden="false" outlineLevel="0" max="21" min="21" style="158" width="3.42"/>
    <col collapsed="false" customWidth="true" hidden="false" outlineLevel="0" max="22" min="22" style="158" width="3.29"/>
    <col collapsed="false" customWidth="true" hidden="false" outlineLevel="0" max="23" min="23" style="158" width="4.14"/>
    <col collapsed="false" customWidth="true" hidden="false" outlineLevel="0" max="24" min="24" style="158" width="4.42"/>
    <col collapsed="false" customWidth="true" hidden="false" outlineLevel="0" max="25" min="25" style="158" width="4.29"/>
    <col collapsed="false" customWidth="true" hidden="false" outlineLevel="0" max="26" min="26" style="158" width="4.42"/>
    <col collapsed="false" customWidth="true" hidden="false" outlineLevel="0" max="27" min="27" style="158" width="4.14"/>
    <col collapsed="false" customWidth="true" hidden="false" outlineLevel="0" max="28" min="28" style="158" width="4.42"/>
  </cols>
  <sheetData>
    <row r="1" customFormat="false" ht="15" hidden="false" customHeight="false" outlineLevel="0" collapsed="false">
      <c r="A1" s="171" t="s">
        <v>126</v>
      </c>
      <c r="B1" s="172" t="s">
        <v>127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customFormat="false" ht="15" hidden="false" customHeight="false" outlineLevel="0" collapsed="false">
      <c r="A2" s="174" t="s">
        <v>69</v>
      </c>
      <c r="B2" s="175" t="s">
        <v>21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</row>
    <row r="3" customFormat="false" ht="15" hidden="false" customHeight="false" outlineLevel="0" collapsed="false">
      <c r="A3" s="174" t="s">
        <v>62</v>
      </c>
      <c r="B3" s="175" t="s">
        <v>10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</row>
    <row r="4" customFormat="false" ht="15" hidden="false" customHeight="false" outlineLevel="0" collapsed="false">
      <c r="A4" s="174" t="s">
        <v>57</v>
      </c>
      <c r="B4" s="175" t="s">
        <v>17</v>
      </c>
    </row>
    <row r="5" customFormat="false" ht="15" hidden="false" customHeight="false" outlineLevel="0" collapsed="false">
      <c r="A5" s="174" t="s">
        <v>63</v>
      </c>
      <c r="B5" s="175" t="s">
        <v>22</v>
      </c>
    </row>
    <row r="6" customFormat="false" ht="15" hidden="false" customHeight="false" outlineLevel="0" collapsed="false">
      <c r="A6" s="154" t="s">
        <v>51</v>
      </c>
      <c r="B6" s="175" t="s">
        <v>41</v>
      </c>
    </row>
    <row r="7" customFormat="false" ht="15" hidden="false" customHeight="false" outlineLevel="0" collapsed="false">
      <c r="A7" s="174" t="s">
        <v>16</v>
      </c>
      <c r="B7" s="175" t="s">
        <v>49</v>
      </c>
    </row>
    <row r="8" customFormat="false" ht="15" hidden="false" customHeight="false" outlineLevel="0" collapsed="false">
      <c r="A8" s="174" t="s">
        <v>20</v>
      </c>
      <c r="B8" s="175" t="s">
        <v>44</v>
      </c>
    </row>
    <row r="9" customFormat="false" ht="15" hidden="false" customHeight="false" outlineLevel="0" collapsed="false">
      <c r="A9" s="174" t="s">
        <v>70</v>
      </c>
      <c r="B9" s="175" t="s">
        <v>40</v>
      </c>
    </row>
    <row r="10" customFormat="false" ht="15" hidden="false" customHeight="false" outlineLevel="0" collapsed="false">
      <c r="A10" s="174" t="s">
        <v>59</v>
      </c>
      <c r="B10" s="175" t="s">
        <v>45</v>
      </c>
    </row>
    <row r="11" customFormat="false" ht="15" hidden="false" customHeight="false" outlineLevel="0" collapsed="false">
      <c r="A11" s="174" t="s">
        <v>54</v>
      </c>
      <c r="B11" s="175" t="s">
        <v>42</v>
      </c>
    </row>
    <row r="12" customFormat="false" ht="15" hidden="false" customHeight="false" outlineLevel="0" collapsed="false">
      <c r="A12" s="174" t="s">
        <v>25</v>
      </c>
      <c r="B12" s="175" t="s">
        <v>14</v>
      </c>
    </row>
    <row r="13" customFormat="false" ht="15" hidden="false" customHeight="false" outlineLevel="0" collapsed="false">
      <c r="A13" s="174" t="s">
        <v>38</v>
      </c>
      <c r="B13" s="175" t="s">
        <v>46</v>
      </c>
    </row>
    <row r="14" customFormat="false" ht="15" hidden="false" customHeight="false" outlineLevel="0" collapsed="false">
      <c r="A14" s="154" t="s">
        <v>36</v>
      </c>
      <c r="B14" s="175" t="s">
        <v>43</v>
      </c>
    </row>
    <row r="15" customFormat="false" ht="15" hidden="false" customHeight="false" outlineLevel="0" collapsed="false">
      <c r="A15" s="174" t="s">
        <v>9</v>
      </c>
      <c r="B15" s="175" t="s">
        <v>47</v>
      </c>
    </row>
    <row r="16" customFormat="false" ht="15" hidden="false" customHeight="false" outlineLevel="0" collapsed="false">
      <c r="A16" s="174" t="s">
        <v>65</v>
      </c>
      <c r="B16" s="175" t="s">
        <v>48</v>
      </c>
    </row>
    <row r="17" customFormat="false" ht="15" hidden="false" customHeight="false" outlineLevel="0" collapsed="false">
      <c r="A17" s="174" t="s">
        <v>73</v>
      </c>
      <c r="B17" s="175" t="s">
        <v>28</v>
      </c>
    </row>
    <row r="18" customFormat="false" ht="15" hidden="false" customHeight="false" outlineLevel="0" collapsed="false">
      <c r="A18" s="174" t="s">
        <v>39</v>
      </c>
      <c r="B18" s="175" t="s">
        <v>29</v>
      </c>
    </row>
    <row r="19" customFormat="false" ht="15" hidden="false" customHeight="false" outlineLevel="0" collapsed="false">
      <c r="A19" s="174" t="s">
        <v>35</v>
      </c>
      <c r="B19" s="175" t="s">
        <v>26</v>
      </c>
    </row>
    <row r="20" customFormat="false" ht="15" hidden="false" customHeight="false" outlineLevel="0" collapsed="false">
      <c r="A20" s="174" t="s">
        <v>56</v>
      </c>
      <c r="B20" s="175" t="s">
        <v>27</v>
      </c>
    </row>
    <row r="21" customFormat="false" ht="15" hidden="false" customHeight="false" outlineLevel="0" collapsed="false">
      <c r="A21" s="174" t="s">
        <v>60</v>
      </c>
      <c r="B21" s="175" t="s">
        <v>13</v>
      </c>
    </row>
    <row r="22" customFormat="false" ht="15" hidden="false" customHeight="false" outlineLevel="0" collapsed="false">
      <c r="A22" s="174" t="s">
        <v>50</v>
      </c>
      <c r="B22" s="175" t="s">
        <v>11</v>
      </c>
    </row>
    <row r="23" customFormat="false" ht="15" hidden="false" customHeight="false" outlineLevel="0" collapsed="false">
      <c r="A23" s="154" t="s">
        <v>71</v>
      </c>
      <c r="B23" s="175" t="s">
        <v>18</v>
      </c>
    </row>
    <row r="24" customFormat="false" ht="15" hidden="false" customHeight="false" outlineLevel="0" collapsed="false">
      <c r="A24" s="174" t="s">
        <v>52</v>
      </c>
      <c r="B24" s="175" t="s">
        <v>23</v>
      </c>
    </row>
    <row r="25" customFormat="false" ht="15" hidden="false" customHeight="false" outlineLevel="0" collapsed="false">
      <c r="A25" s="174" t="s">
        <v>58</v>
      </c>
      <c r="B25" s="175" t="s">
        <v>12</v>
      </c>
    </row>
    <row r="26" customFormat="false" ht="15" hidden="false" customHeight="false" outlineLevel="0" collapsed="false">
      <c r="A26" s="174" t="s">
        <v>30</v>
      </c>
      <c r="B26" s="177"/>
    </row>
    <row r="27" customFormat="false" ht="15" hidden="false" customHeight="false" outlineLevel="0" collapsed="false">
      <c r="A27" s="174" t="s">
        <v>66</v>
      </c>
      <c r="B27" s="177"/>
    </row>
    <row r="28" customFormat="false" ht="15" hidden="false" customHeight="false" outlineLevel="0" collapsed="false">
      <c r="A28" s="174" t="s">
        <v>68</v>
      </c>
      <c r="B28" s="177"/>
    </row>
    <row r="29" customFormat="false" ht="15" hidden="false" customHeight="false" outlineLevel="0" collapsed="false">
      <c r="A29" s="154" t="s">
        <v>37</v>
      </c>
      <c r="B29" s="177"/>
    </row>
    <row r="30" customFormat="false" ht="15" hidden="false" customHeight="false" outlineLevel="0" collapsed="false">
      <c r="A30" s="174" t="s">
        <v>34</v>
      </c>
      <c r="B30" s="177"/>
    </row>
    <row r="31" customFormat="false" ht="15" hidden="false" customHeight="false" outlineLevel="0" collapsed="false">
      <c r="A31" s="154" t="s">
        <v>128</v>
      </c>
      <c r="B31" s="177"/>
    </row>
    <row r="32" customFormat="false" ht="15" hidden="false" customHeight="false" outlineLevel="0" collapsed="false">
      <c r="A32" s="174" t="s">
        <v>64</v>
      </c>
      <c r="B32" s="177"/>
    </row>
    <row r="33" customFormat="false" ht="15" hidden="false" customHeight="false" outlineLevel="0" collapsed="false">
      <c r="A33" s="174" t="s">
        <v>72</v>
      </c>
      <c r="B33" s="177"/>
    </row>
    <row r="34" customFormat="false" ht="15" hidden="false" customHeight="false" outlineLevel="0" collapsed="false">
      <c r="A34" s="174" t="s">
        <v>32</v>
      </c>
      <c r="B34" s="177"/>
    </row>
    <row r="35" customFormat="false" ht="15" hidden="false" customHeight="false" outlineLevel="0" collapsed="false">
      <c r="A35" s="174" t="s">
        <v>67</v>
      </c>
      <c r="B35" s="177"/>
    </row>
    <row r="36" customFormat="false" ht="15" hidden="false" customHeight="false" outlineLevel="0" collapsed="false">
      <c r="A36" s="174" t="s">
        <v>55</v>
      </c>
      <c r="B36" s="177"/>
    </row>
    <row r="37" customFormat="false" ht="15" hidden="false" customHeight="false" outlineLevel="0" collapsed="false">
      <c r="A37" s="174" t="s">
        <v>74</v>
      </c>
      <c r="B37" s="177"/>
    </row>
    <row r="38" customFormat="false" ht="15" hidden="false" customHeight="false" outlineLevel="0" collapsed="false">
      <c r="A38" s="154" t="s">
        <v>76</v>
      </c>
      <c r="B38" s="177"/>
    </row>
    <row r="39" customFormat="false" ht="15" hidden="false" customHeight="false" outlineLevel="0" collapsed="false">
      <c r="A39" s="154" t="s">
        <v>53</v>
      </c>
      <c r="B39" s="177"/>
    </row>
    <row r="40" customFormat="false" ht="15" hidden="false" customHeight="false" outlineLevel="0" collapsed="false">
      <c r="A40" s="174" t="s">
        <v>80</v>
      </c>
      <c r="B40" s="177"/>
    </row>
    <row r="41" customFormat="false" ht="15" hidden="false" customHeight="false" outlineLevel="0" collapsed="false">
      <c r="A41" s="174" t="s">
        <v>77</v>
      </c>
      <c r="B41" s="177"/>
    </row>
    <row r="42" customFormat="false" ht="15" hidden="false" customHeight="false" outlineLevel="0" collapsed="false">
      <c r="A42" s="174" t="s">
        <v>61</v>
      </c>
      <c r="B42" s="177"/>
    </row>
    <row r="43" customFormat="false" ht="15" hidden="false" customHeight="false" outlineLevel="0" collapsed="false">
      <c r="A43" s="174" t="s">
        <v>78</v>
      </c>
      <c r="B43" s="177"/>
    </row>
    <row r="44" customFormat="false" ht="15" hidden="false" customHeight="false" outlineLevel="0" collapsed="false">
      <c r="A44" s="174" t="s">
        <v>75</v>
      </c>
      <c r="B44" s="177"/>
    </row>
    <row r="45" customFormat="false" ht="15" hidden="false" customHeight="false" outlineLevel="0" collapsed="false">
      <c r="A45" s="178"/>
      <c r="B45" s="177"/>
    </row>
    <row r="46" customFormat="false" ht="15" hidden="false" customHeight="false" outlineLevel="0" collapsed="false">
      <c r="A46" s="178"/>
      <c r="B46" s="177"/>
    </row>
  </sheetData>
  <dataValidations count="1">
    <dataValidation allowBlank="true" errorStyle="stop" operator="between" showDropDown="false" showErrorMessage="true" showInputMessage="true" sqref="A28" type="list">
      <formula1>$A$2:$A$43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79" t="s">
        <v>88</v>
      </c>
      <c r="B1" s="179" t="n">
        <v>912</v>
      </c>
      <c r="C1" s="179" t="n">
        <v>913</v>
      </c>
      <c r="D1" s="179" t="n">
        <v>1115</v>
      </c>
    </row>
    <row r="2" customFormat="false" ht="13.8" hidden="false" customHeight="false" outlineLevel="0" collapsed="false">
      <c r="A2" s="179" t="n">
        <v>912</v>
      </c>
      <c r="B2" s="179" t="s">
        <v>88</v>
      </c>
      <c r="C2" s="179" t="n">
        <v>0</v>
      </c>
      <c r="D2" s="179" t="n">
        <v>1</v>
      </c>
    </row>
    <row r="3" customFormat="false" ht="13.8" hidden="false" customHeight="false" outlineLevel="0" collapsed="false">
      <c r="A3" s="179" t="n">
        <v>913</v>
      </c>
      <c r="B3" s="179" t="n">
        <v>0</v>
      </c>
      <c r="C3" s="179" t="s">
        <v>88</v>
      </c>
      <c r="D3" s="179" t="n">
        <v>1</v>
      </c>
    </row>
    <row r="4" customFormat="false" ht="13.8" hidden="false" customHeight="false" outlineLevel="0" collapsed="false">
      <c r="A4" s="179" t="n">
        <v>1115</v>
      </c>
      <c r="B4" s="179" t="n">
        <v>1</v>
      </c>
      <c r="C4" s="179" t="n">
        <v>1</v>
      </c>
      <c r="D4" s="179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2019-08-08T19:48:45Z</dcterms:created>
  <dc:creator>Анастасия</dc:creator>
  <dc:description/>
  <dc:language>ru-RU</dc:language>
  <cp:lastModifiedBy/>
  <cp:lastPrinted>2024-09-30T14:14:52Z</cp:lastPrinted>
  <dcterms:modified xsi:type="dcterms:W3CDTF">2025-11-19T15:53:19Z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